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2e8844c3a4c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Performance" sheetId="1" r:id="R65db75e60f094b3b"/>
    <x:sheet xmlns:r="http://schemas.openxmlformats.org/officeDocument/2006/relationships" name="Supplier Spend" sheetId="2" r:id="Rad8dc5e60112481e"/>
    <x:sheet xmlns:r="http://schemas.openxmlformats.org/officeDocument/2006/relationships" name="Labour Detail" sheetId="3" r:id="R7139fc162a0a4879"/>
    <x:sheet xmlns:r="http://schemas.openxmlformats.org/officeDocument/2006/relationships" name="Supplier Register" sheetId="4" r:id="R03f96bd1be1f4891"/>
    <x:sheet xmlns:r="http://schemas.openxmlformats.org/officeDocument/2006/relationships" name="Data Notes" sheetId="5" r:id="R7bfcad2a935b4e7c"/>
    <x:sheet xmlns:r="http://schemas.openxmlformats.org/officeDocument/2006/relationships" name="Analysis Summary" sheetId="6" r:id="R0fd2b2d27a3c4f39"/>
    <x:sheet xmlns:r="http://schemas.openxmlformats.org/officeDocument/2006/relationships" name="Site Performance" sheetId="7" r:id="R820a8cc1a168473d"/>
    <x:sheet xmlns:r="http://schemas.openxmlformats.org/officeDocument/2006/relationships" name="Supplier Exceptions" sheetId="8" r:id="R02655245d17d490a"/>
    <x:sheet xmlns:r="http://schemas.openxmlformats.org/officeDocument/2006/relationships" name="Labour Analysis" sheetId="9" r:id="R7c195ff81b4c42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m-yy"/>
    <x:numFmt numFmtId="201" formatCode="£#,##0"/>
    <x:numFmt numFmtId="202" formatCode="dd-mmm-yyyy"/>
    <x:numFmt numFmtId="203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76ffde7e174a36" /><Relationship Type="http://schemas.openxmlformats.org/officeDocument/2006/relationships/theme" Target="/xl/theme/theme1.xml" Id="R2196980f4fcd49d2" /><Relationship Type="http://schemas.openxmlformats.org/officeDocument/2006/relationships/sharedStrings" Target="/xl/sharedStrings.xml" Id="R7552c9846de949bc" /><Relationship Type="http://schemas.openxmlformats.org/officeDocument/2006/relationships/worksheet" Target="/xl/worksheets/sheet1.xml" Id="R65db75e60f094b3b" /><Relationship Type="http://schemas.openxmlformats.org/officeDocument/2006/relationships/worksheet" Target="/xl/worksheets/sheet2.xml" Id="Rad8dc5e60112481e" /><Relationship Type="http://schemas.openxmlformats.org/officeDocument/2006/relationships/worksheet" Target="/xl/worksheets/sheet3.xml" Id="R7139fc162a0a4879" /><Relationship Type="http://schemas.openxmlformats.org/officeDocument/2006/relationships/worksheet" Target="/xl/worksheets/sheet4.xml" Id="R03f96bd1be1f4891" /><Relationship Type="http://schemas.openxmlformats.org/officeDocument/2006/relationships/worksheet" Target="/xl/worksheets/sheet5.xml" Id="R7bfcad2a935b4e7c" /><Relationship Type="http://schemas.openxmlformats.org/officeDocument/2006/relationships/worksheet" Target="/xl/worksheets/sheet6.xml" Id="R0fd2b2d27a3c4f39" /><Relationship Type="http://schemas.openxmlformats.org/officeDocument/2006/relationships/worksheet" Target="/xl/worksheets/sheet7.xml" Id="R820a8cc1a168473d" /><Relationship Type="http://schemas.openxmlformats.org/officeDocument/2006/relationships/worksheet" Target="/xl/worksheets/sheet8.xml" Id="R02655245d17d490a" /><Relationship Type="http://schemas.openxmlformats.org/officeDocument/2006/relationships/worksheet" Target="/xl/worksheets/sheet9.xml" Id="R7c195ff81b4c42b3" /></Relationships>
</file>

<file path=xl/tables/table1.xml><?xml version="1.0" encoding="utf-8"?>
<x:table xmlns:x="http://schemas.openxmlformats.org/spreadsheetml/2006/main" id="1" name="MonthlyPerformanceTable" displayName="MonthlyPerformanceTable" ref="A1:J49" headerRowCount="1" totalsRowCount="0" totalsRowShown="0">
  <x:tableColumns count="10">
    <x:tableColumn id="1" name="Month"/>
    <x:tableColumn id="2" name="Site"/>
    <x:tableColumn id="3" name="Revenue Budget"/>
    <x:tableColumn id="4" name="Revenue Actual"/>
    <x:tableColumn id="5" name="COGS Budget"/>
    <x:tableColumn id="6" name="COGS Actual"/>
    <x:tableColumn id="7" name="Labour Budget"/>
    <x:tableColumn id="8" name="Labour Actual"/>
    <x:tableColumn id="9" name="Operating Cost Budget"/>
    <x:tableColumn id="10" name="Operating Cost Actu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ierSpendTable" displayName="SupplierSpendTable" ref="A1:G289" headerRowCount="1" totalsRowCount="0" totalsRowShown="0">
  <x:tableColumns count="7">
    <x:tableColumn id="1" name="Month"/>
    <x:tableColumn id="2" name="Supplier"/>
    <x:tableColumn id="3" name="Category"/>
    <x:tableColumn id="4" name="Site"/>
    <x:tableColumn id="5" name="Spend"/>
    <x:tableColumn id="6" name="Agreed Monthly Baseline"/>
    <x:tableColumn id="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bourDetailTable" displayName="LabourDetailTable" ref="A1:G49" headerRowCount="1" totalsRowCount="0" totalsRowShown="0">
  <x:tableColumns count="7">
    <x:tableColumn id="1" name="Month"/>
    <x:tableColumn id="2" name="Site"/>
    <x:tableColumn id="3" name="Revenue"/>
    <x:tableColumn id="4" name="Scheduled Labour Cost"/>
    <x:tableColumn id="5" name="Actual Labour Cost"/>
    <x:tableColumn id="6" name="Overtime Cost"/>
    <x:tableColumn id="7" name="Agency Cos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plierRegisterTable" displayName="SupplierRegisterTable" ref="A1:J9" headerRowCount="1" totalsRowCount="0" totalsRowShown="0">
  <x:tableColumns count="10">
    <x:tableColumn id="1" name="Supplier"/>
    <x:tableColumn id="2" name="Category"/>
    <x:tableColumn id="3" name="Primary Owner"/>
    <x:tableColumn id="4" name="Payment Terms"/>
    <x:tableColumn id="5" name="Contract Start"/>
    <x:tableColumn id="6" name="Renewal Date"/>
    <x:tableColumn id="7" name="Notice Period (Days)"/>
    <x:tableColumn id="8" name="Annual Contract Value"/>
    <x:tableColumn id="9" name="Agreed Pricing Recorded"/>
    <x:tableColumn id="10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161c2ce0744a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f27f28093c42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fc17eb3f73e43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478466e5b2e4e8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0" hidden="0" customWidth="1"/>
    <x:col min="10" max="10" width="20" hidden="0" customWidth="1"/>
  </x:cols>
  <x:sheetData>
    <x:row r="1" ht="30" customHeight="1">
      <x:c r="A1" s="12" t="str">
        <x:v>Month</x:v>
      </x:c>
      <x:c r="B1" s="12" t="str">
        <x:v>Site</x:v>
      </x:c>
      <x:c r="C1" s="12" t="str">
        <x:v>Revenue Budget</x:v>
      </x:c>
      <x:c r="D1" s="12" t="str">
        <x:v>Revenue Actual</x:v>
      </x:c>
      <x:c r="E1" s="12" t="str">
        <x:v>COGS Budget</x:v>
      </x:c>
      <x:c r="F1" s="12" t="str">
        <x:v>COGS Actual</x:v>
      </x:c>
      <x:c r="G1" s="12" t="str">
        <x:v>Labour Budget</x:v>
      </x:c>
      <x:c r="H1" s="12" t="str">
        <x:v>Labour Actual</x:v>
      </x:c>
      <x:c r="I1" s="12" t="str">
        <x:v>Operating Cost Budget</x:v>
      </x:c>
      <x:c r="J1" s="12" t="str">
        <x:v>Operating Cost Actual</x:v>
      </x:c>
    </x:row>
    <x:row r="2">
      <x:c r="A2" s="2" t="n">
        <x:v>45901</x:v>
      </x:c>
      <x:c r="B2" t="str">
        <x:v>Soho</x:v>
      </x:c>
      <x:c r="C2" s="4" t="n">
        <x:v>132000</x:v>
      </x:c>
      <x:c r="D2" s="4" t="n">
        <x:v>130680</x:v>
      </x:c>
      <x:c r="E2" s="4" t="n">
        <x:v>38280</x:v>
      </x:c>
      <x:c r="F2" s="4" t="n">
        <x:v>38550.6</x:v>
      </x:c>
      <x:c r="G2" s="4" t="n">
        <x:v>40920</x:v>
      </x:c>
      <x:c r="H2" s="4" t="n">
        <x:v>41164.2</x:v>
      </x:c>
      <x:c r="I2" s="4" t="n">
        <x:v>26400</x:v>
      </x:c>
      <x:c r="J2" s="4" t="n">
        <x:v>26928</x:v>
      </x:c>
    </x:row>
    <x:row r="3">
      <x:c r="A3" s="2" t="n">
        <x:v>45901</x:v>
      </x:c>
      <x:c r="B3" t="str">
        <x:v>Vauxhall</x:v>
      </x:c>
      <x:c r="C3" s="4" t="n">
        <x:v>112000</x:v>
      </x:c>
      <x:c r="D3" s="4" t="n">
        <x:v>109760</x:v>
      </x:c>
      <x:c r="E3" s="4" t="n">
        <x:v>32480</x:v>
      </x:c>
      <x:c r="F3" s="4" t="n">
        <x:v>32928</x:v>
      </x:c>
      <x:c r="G3" s="4" t="n">
        <x:v>33600</x:v>
      </x:c>
      <x:c r="H3" s="4" t="n">
        <x:v>34025.6</x:v>
      </x:c>
      <x:c r="I3" s="4" t="n">
        <x:v>21280</x:v>
      </x:c>
      <x:c r="J3" s="4" t="n">
        <x:v>22344</x:v>
      </x:c>
    </x:row>
    <x:row r="4">
      <x:c r="A4" s="2" t="n">
        <x:v>45901</x:v>
      </x:c>
      <x:c r="B4" t="str">
        <x:v>Borough</x:v>
      </x:c>
      <x:c r="C4" s="4" t="n">
        <x:v>68000</x:v>
      </x:c>
      <x:c r="D4" s="4" t="n">
        <x:v>68680</x:v>
      </x:c>
      <x:c r="E4" s="4" t="n">
        <x:v>19720</x:v>
      </x:c>
      <x:c r="F4" s="4" t="n">
        <x:v>19573.8</x:v>
      </x:c>
      <x:c r="G4" s="4" t="n">
        <x:v>21760</x:v>
      </x:c>
      <x:c r="H4" s="4" t="n">
        <x:v>21634.2</x:v>
      </x:c>
      <x:c r="I4" s="4" t="n">
        <x:v>12240</x:v>
      </x:c>
      <x:c r="J4" s="4" t="n">
        <x:v>12117.6</x:v>
      </x:c>
    </x:row>
    <x:row r="5">
      <x:c r="A5" s="2" t="n">
        <x:v>45901</x:v>
      </x:c>
      <x:c r="B5" t="str">
        <x:v>Camden</x:v>
      </x:c>
      <x:c r="C5" s="4" t="n">
        <x:v>72000</x:v>
      </x:c>
      <x:c r="D5" s="4" t="n">
        <x:v>72000</x:v>
      </x:c>
      <x:c r="E5" s="4" t="n">
        <x:v>18000</x:v>
      </x:c>
      <x:c r="F5" s="4" t="n">
        <x:v>18360</x:v>
      </x:c>
      <x:c r="G5" s="4" t="n">
        <x:v>20880</x:v>
      </x:c>
      <x:c r="H5" s="4" t="n">
        <x:v>20520</x:v>
      </x:c>
      <x:c r="I5" s="4" t="n">
        <x:v>12960</x:v>
      </x:c>
      <x:c r="J5" s="4" t="n">
        <x:v>13089.6</x:v>
      </x:c>
    </x:row>
    <x:row r="6">
      <x:c r="A6" s="2" t="n">
        <x:v>45931</x:v>
      </x:c>
      <x:c r="B6" t="str">
        <x:v>Soho</x:v>
      </x:c>
      <x:c r="C6" s="4" t="n">
        <x:v>137500</x:v>
      </x:c>
      <x:c r="D6" s="4" t="n">
        <x:v>138875</x:v>
      </x:c>
      <x:c r="E6" s="4" t="n">
        <x:v>39875</x:v>
      </x:c>
      <x:c r="F6" s="4" t="n">
        <x:v>40968.12</x:v>
      </x:c>
      <x:c r="G6" s="4" t="n">
        <x:v>42625</x:v>
      </x:c>
      <x:c r="H6" s="4" t="n">
        <x:v>43745.62</x:v>
      </x:c>
      <x:c r="I6" s="4" t="n">
        <x:v>27500</x:v>
      </x:c>
      <x:c r="J6" s="4" t="n">
        <x:v>28050</x:v>
      </x:c>
    </x:row>
    <x:row r="7">
      <x:c r="A7" s="2" t="n">
        <x:v>45931</x:v>
      </x:c>
      <x:c r="B7" t="str">
        <x:v>Vauxhall</x:v>
      </x:c>
      <x:c r="C7" s="4" t="n">
        <x:v>116666.67</x:v>
      </x:c>
      <x:c r="D7" s="4" t="n">
        <x:v>115500</x:v>
      </x:c>
      <x:c r="E7" s="4" t="n">
        <x:v>33833.33</x:v>
      </x:c>
      <x:c r="F7" s="4" t="n">
        <x:v>34650</x:v>
      </x:c>
      <x:c r="G7" s="4" t="n">
        <x:v>35000</x:v>
      </x:c>
      <x:c r="H7" s="4" t="n">
        <x:v>35805</x:v>
      </x:c>
      <x:c r="I7" s="4" t="n">
        <x:v>22166.67</x:v>
      </x:c>
      <x:c r="J7" s="4" t="n">
        <x:v>23275</x:v>
      </x:c>
    </x:row>
    <x:row r="8">
      <x:c r="A8" s="2" t="n">
        <x:v>45931</x:v>
      </x:c>
      <x:c r="B8" t="str">
        <x:v>Borough</x:v>
      </x:c>
      <x:c r="C8" s="4" t="n">
        <x:v>70833.33</x:v>
      </x:c>
      <x:c r="D8" s="4" t="n">
        <x:v>72250</x:v>
      </x:c>
      <x:c r="E8" s="4" t="n">
        <x:v>20541.67</x:v>
      </x:c>
      <x:c r="F8" s="4" t="n">
        <x:v>20591.25</x:v>
      </x:c>
      <x:c r="G8" s="4" t="n">
        <x:v>22666.67</x:v>
      </x:c>
      <x:c r="H8" s="4" t="n">
        <x:v>22758.75</x:v>
      </x:c>
      <x:c r="I8" s="4" t="n">
        <x:v>12750</x:v>
      </x:c>
      <x:c r="J8" s="4" t="n">
        <x:v>12622.5</x:v>
      </x:c>
    </x:row>
    <x:row r="9">
      <x:c r="A9" s="2" t="n">
        <x:v>45931</x:v>
      </x:c>
      <x:c r="B9" t="str">
        <x:v>Camden</x:v>
      </x:c>
      <x:c r="C9" s="4" t="n">
        <x:v>75000</x:v>
      </x:c>
      <x:c r="D9" s="4" t="n">
        <x:v>75750</x:v>
      </x:c>
      <x:c r="E9" s="4" t="n">
        <x:v>18750</x:v>
      </x:c>
      <x:c r="F9" s="4" t="n">
        <x:v>19316.25</x:v>
      </x:c>
      <x:c r="G9" s="4" t="n">
        <x:v>21750</x:v>
      </x:c>
      <x:c r="H9" s="4" t="n">
        <x:v>21588.75</x:v>
      </x:c>
      <x:c r="I9" s="4" t="n">
        <x:v>13500</x:v>
      </x:c>
      <x:c r="J9" s="4" t="n">
        <x:v>13635</x:v>
      </x:c>
    </x:row>
    <x:row r="10">
      <x:c r="A10" s="2" t="n">
        <x:v>45962</x:v>
      </x:c>
      <x:c r="B10" t="str">
        <x:v>Soho</x:v>
      </x:c>
      <x:c r="C10" s="4" t="n">
        <x:v>141625</x:v>
      </x:c>
      <x:c r="D10" s="4" t="n">
        <x:v>138792.5</x:v>
      </x:c>
      <x:c r="E10" s="4" t="n">
        <x:v>41071.25</x:v>
      </x:c>
      <x:c r="F10" s="4" t="n">
        <x:v>40943.79</x:v>
      </x:c>
      <x:c r="G10" s="4" t="n">
        <x:v>43903.75</x:v>
      </x:c>
      <x:c r="H10" s="4" t="n">
        <x:v>43719.64</x:v>
      </x:c>
      <x:c r="I10" s="4" t="n">
        <x:v>28325</x:v>
      </x:c>
      <x:c r="J10" s="4" t="n">
        <x:v>28891.5</x:v>
      </x:c>
    </x:row>
    <x:row r="11">
      <x:c r="A11" s="2" t="n">
        <x:v>45962</x:v>
      </x:c>
      <x:c r="B11" t="str">
        <x:v>Vauxhall</x:v>
      </x:c>
      <x:c r="C11" s="4" t="n">
        <x:v>120166.67</x:v>
      </x:c>
      <x:c r="D11" s="4" t="n">
        <x:v>115360</x:v>
      </x:c>
      <x:c r="E11" s="4" t="n">
        <x:v>34848.33</x:v>
      </x:c>
      <x:c r="F11" s="4" t="n">
        <x:v>34608</x:v>
      </x:c>
      <x:c r="G11" s="4" t="n">
        <x:v>36050</x:v>
      </x:c>
      <x:c r="H11" s="4" t="n">
        <x:v>35761.6</x:v>
      </x:c>
      <x:c r="I11" s="4" t="n">
        <x:v>22831.67</x:v>
      </x:c>
      <x:c r="J11" s="4" t="n">
        <x:v>23973.25</x:v>
      </x:c>
    </x:row>
    <x:row r="12">
      <x:c r="A12" s="2" t="n">
        <x:v>45962</x:v>
      </x:c>
      <x:c r="B12" t="str">
        <x:v>Borough</x:v>
      </x:c>
      <x:c r="C12" s="4" t="n">
        <x:v>72958.33</x:v>
      </x:c>
      <x:c r="D12" s="4" t="n">
        <x:v>72958.33</x:v>
      </x:c>
      <x:c r="E12" s="4" t="n">
        <x:v>21157.92</x:v>
      </x:c>
      <x:c r="F12" s="4" t="n">
        <x:v>20793.12</x:v>
      </x:c>
      <x:c r="G12" s="4" t="n">
        <x:v>23346.67</x:v>
      </x:c>
      <x:c r="H12" s="4" t="n">
        <x:v>22981.87</x:v>
      </x:c>
      <x:c r="I12" s="4" t="n">
        <x:v>13132.5</x:v>
      </x:c>
      <x:c r="J12" s="4" t="n">
        <x:v>13001.17</x:v>
      </x:c>
    </x:row>
    <x:row r="13">
      <x:c r="A13" s="2" t="n">
        <x:v>45962</x:v>
      </x:c>
      <x:c r="B13" t="str">
        <x:v>Camden</x:v>
      </x:c>
      <x:c r="C13" s="4" t="n">
        <x:v>77250</x:v>
      </x:c>
      <x:c r="D13" s="4" t="n">
        <x:v>79567.5</x:v>
      </x:c>
      <x:c r="E13" s="4" t="n">
        <x:v>19312.5</x:v>
      </x:c>
      <x:c r="F13" s="4" t="n">
        <x:v>20289.71</x:v>
      </x:c>
      <x:c r="G13" s="4" t="n">
        <x:v>22402.5</x:v>
      </x:c>
      <x:c r="H13" s="4" t="n">
        <x:v>22676.74</x:v>
      </x:c>
      <x:c r="I13" s="4" t="n">
        <x:v>13905</x:v>
      </x:c>
      <x:c r="J13" s="4" t="n">
        <x:v>14044.05</x:v>
      </x:c>
    </x:row>
    <x:row r="14">
      <x:c r="A14" s="2" t="n">
        <x:v>45992</x:v>
      </x:c>
      <x:c r="B14" t="str">
        <x:v>Soho</x:v>
      </x:c>
      <x:c r="C14" s="4" t="n">
        <x:v>154000</x:v>
      </x:c>
      <x:c r="D14" s="4" t="n">
        <x:v>158620</x:v>
      </x:c>
      <x:c r="E14" s="4" t="n">
        <x:v>44660</x:v>
      </x:c>
      <x:c r="F14" s="4" t="n">
        <x:v>46792.9</x:v>
      </x:c>
      <x:c r="G14" s="4" t="n">
        <x:v>47740</x:v>
      </x:c>
      <x:c r="H14" s="4" t="n">
        <x:v>49965.3</x:v>
      </x:c>
      <x:c r="I14" s="4" t="n">
        <x:v>30800</x:v>
      </x:c>
      <x:c r="J14" s="4" t="n">
        <x:v>31416</x:v>
      </x:c>
    </x:row>
    <x:row r="15">
      <x:c r="A15" s="2" t="n">
        <x:v>45992</x:v>
      </x:c>
      <x:c r="B15" t="str">
        <x:v>Vauxhall</x:v>
      </x:c>
      <x:c r="C15" s="4" t="n">
        <x:v>130666.67</x:v>
      </x:c>
      <x:c r="D15" s="4" t="n">
        <x:v>129360</x:v>
      </x:c>
      <x:c r="E15" s="4" t="n">
        <x:v>37893.33</x:v>
      </x:c>
      <x:c r="F15" s="4" t="n">
        <x:v>38808</x:v>
      </x:c>
      <x:c r="G15" s="4" t="n">
        <x:v>39200</x:v>
      </x:c>
      <x:c r="H15" s="4" t="n">
        <x:v>40101.6</x:v>
      </x:c>
      <x:c r="I15" s="4" t="n">
        <x:v>24826.67</x:v>
      </x:c>
      <x:c r="J15" s="4" t="n">
        <x:v>26068</x:v>
      </x:c>
    </x:row>
    <x:row r="16">
      <x:c r="A16" s="2" t="n">
        <x:v>45992</x:v>
      </x:c>
      <x:c r="B16" t="str">
        <x:v>Borough</x:v>
      </x:c>
      <x:c r="C16" s="4" t="n">
        <x:v>79333.33</x:v>
      </x:c>
      <x:c r="D16" s="4" t="n">
        <x:v>82506.66</x:v>
      </x:c>
      <x:c r="E16" s="4" t="n">
        <x:v>23006.67</x:v>
      </x:c>
      <x:c r="F16" s="4" t="n">
        <x:v>23514.4</x:v>
      </x:c>
      <x:c r="G16" s="4" t="n">
        <x:v>25386.67</x:v>
      </x:c>
      <x:c r="H16" s="4" t="n">
        <x:v>25989.6</x:v>
      </x:c>
      <x:c r="I16" s="4" t="n">
        <x:v>14280</x:v>
      </x:c>
      <x:c r="J16" s="4" t="n">
        <x:v>14137.2</x:v>
      </x:c>
    </x:row>
    <x:row r="17">
      <x:c r="A17" s="2" t="n">
        <x:v>45992</x:v>
      </x:c>
      <x:c r="B17" t="str">
        <x:v>Camden</x:v>
      </x:c>
      <x:c r="C17" s="4" t="n">
        <x:v>84000</x:v>
      </x:c>
      <x:c r="D17" s="4" t="n">
        <x:v>89040</x:v>
      </x:c>
      <x:c r="E17" s="4" t="n">
        <x:v>21000</x:v>
      </x:c>
      <x:c r="F17" s="4" t="n">
        <x:v>22705.2</x:v>
      </x:c>
      <x:c r="G17" s="4" t="n">
        <x:v>24360</x:v>
      </x:c>
      <x:c r="H17" s="4" t="n">
        <x:v>25376.4</x:v>
      </x:c>
      <x:c r="I17" s="4" t="n">
        <x:v>15120</x:v>
      </x:c>
      <x:c r="J17" s="4" t="n">
        <x:v>15271.2</x:v>
      </x:c>
    </x:row>
    <x:row r="18">
      <x:c r="A18" s="2" t="n">
        <x:v>46023</x:v>
      </x:c>
      <x:c r="B18" t="str">
        <x:v>Soho</x:v>
      </x:c>
      <x:c r="C18" s="4" t="n">
        <x:v>123750</x:v>
      </x:c>
      <x:c r="D18" s="4" t="n">
        <x:v>118800</x:v>
      </x:c>
      <x:c r="E18" s="4" t="n">
        <x:v>35887.5</x:v>
      </x:c>
      <x:c r="F18" s="4" t="n">
        <x:v>35046</x:v>
      </x:c>
      <x:c r="G18" s="4" t="n">
        <x:v>38362.5</x:v>
      </x:c>
      <x:c r="H18" s="4" t="n">
        <x:v>37422</x:v>
      </x:c>
      <x:c r="I18" s="4" t="n">
        <x:v>24750</x:v>
      </x:c>
      <x:c r="J18" s="4" t="n">
        <x:v>25245</x:v>
      </x:c>
    </x:row>
    <x:row r="19">
      <x:c r="A19" s="2" t="n">
        <x:v>46023</x:v>
      </x:c>
      <x:c r="B19" t="str">
        <x:v>Vauxhall</x:v>
      </x:c>
      <x:c r="C19" s="4" t="n">
        <x:v>105000</x:v>
      </x:c>
      <x:c r="D19" s="4" t="n">
        <x:v>98700</x:v>
      </x:c>
      <x:c r="E19" s="4" t="n">
        <x:v>30450</x:v>
      </x:c>
      <x:c r="F19" s="4" t="n">
        <x:v>30399.6</x:v>
      </x:c>
      <x:c r="G19" s="4" t="n">
        <x:v>31500</x:v>
      </x:c>
      <x:c r="H19" s="4" t="n">
        <x:v>30597</x:v>
      </x:c>
      <x:c r="I19" s="4" t="n">
        <x:v>19950</x:v>
      </x:c>
      <x:c r="J19" s="4" t="n">
        <x:v>20947.5</x:v>
      </x:c>
    </x:row>
    <x:row r="20">
      <x:c r="A20" s="2" t="n">
        <x:v>46023</x:v>
      </x:c>
      <x:c r="B20" t="str">
        <x:v>Borough</x:v>
      </x:c>
      <x:c r="C20" s="4" t="n">
        <x:v>63750</x:v>
      </x:c>
      <x:c r="D20" s="4" t="n">
        <x:v>65025</x:v>
      </x:c>
      <x:c r="E20" s="4" t="n">
        <x:v>18487.5</x:v>
      </x:c>
      <x:c r="F20" s="4" t="n">
        <x:v>18532.12</x:v>
      </x:c>
      <x:c r="G20" s="4" t="n">
        <x:v>20400</x:v>
      </x:c>
      <x:c r="H20" s="4" t="n">
        <x:v>20482.88</x:v>
      </x:c>
      <x:c r="I20" s="4" t="n">
        <x:v>11475</x:v>
      </x:c>
      <x:c r="J20" s="4" t="n">
        <x:v>11360.25</x:v>
      </x:c>
    </x:row>
    <x:row r="21">
      <x:c r="A21" s="2" t="n">
        <x:v>46023</x:v>
      </x:c>
      <x:c r="B21" t="str">
        <x:v>Camden</x:v>
      </x:c>
      <x:c r="C21" s="4" t="n">
        <x:v>67500</x:v>
      </x:c>
      <x:c r="D21" s="4" t="n">
        <x:v>66150</x:v>
      </x:c>
      <x:c r="E21" s="4" t="n">
        <x:v>16875</x:v>
      </x:c>
      <x:c r="F21" s="4" t="n">
        <x:v>16868.25</x:v>
      </x:c>
      <x:c r="G21" s="4" t="n">
        <x:v>19575</x:v>
      </x:c>
      <x:c r="H21" s="4" t="n">
        <x:v>18852.75</x:v>
      </x:c>
      <x:c r="I21" s="4" t="n">
        <x:v>12150</x:v>
      </x:c>
      <x:c r="J21" s="4" t="n">
        <x:v>12271.5</x:v>
      </x:c>
    </x:row>
    <x:row r="22">
      <x:c r="A22" s="2" t="n">
        <x:v>46054</x:v>
      </x:c>
      <x:c r="B22" t="str">
        <x:v>Soho</x:v>
      </x:c>
      <x:c r="C22" s="4" t="n">
        <x:v>125125</x:v>
      </x:c>
      <x:c r="D22" s="4" t="n">
        <x:v>121371.25</x:v>
      </x:c>
      <x:c r="E22" s="4" t="n">
        <x:v>36286.25</x:v>
      </x:c>
      <x:c r="F22" s="4" t="n">
        <x:v>35804.52</x:v>
      </x:c>
      <x:c r="G22" s="4" t="n">
        <x:v>38788.75</x:v>
      </x:c>
      <x:c r="H22" s="4" t="n">
        <x:v>38231.94</x:v>
      </x:c>
      <x:c r="I22" s="4" t="n">
        <x:v>25025</x:v>
      </x:c>
      <x:c r="J22" s="4" t="n">
        <x:v>25525.5</x:v>
      </x:c>
    </x:row>
    <x:row r="23">
      <x:c r="A23" s="2" t="n">
        <x:v>46054</x:v>
      </x:c>
      <x:c r="B23" t="str">
        <x:v>Vauxhall</x:v>
      </x:c>
      <x:c r="C23" s="4" t="n">
        <x:v>106166.67</x:v>
      </x:c>
      <x:c r="D23" s="4" t="n">
        <x:v>100858.34</x:v>
      </x:c>
      <x:c r="E23" s="4" t="n">
        <x:v>30788.33</x:v>
      </x:c>
      <x:c r="F23" s="4" t="n">
        <x:v>31266.09</x:v>
      </x:c>
      <x:c r="G23" s="4" t="n">
        <x:v>31850</x:v>
      </x:c>
      <x:c r="H23" s="4" t="n">
        <x:v>31871.24</x:v>
      </x:c>
      <x:c r="I23" s="4" t="n">
        <x:v>20171.67</x:v>
      </x:c>
      <x:c r="J23" s="4" t="n">
        <x:v>21180.25</x:v>
      </x:c>
    </x:row>
    <x:row r="24">
      <x:c r="A24" s="2" t="n">
        <x:v>46054</x:v>
      </x:c>
      <x:c r="B24" t="str">
        <x:v>Borough</x:v>
      </x:c>
      <x:c r="C24" s="4" t="n">
        <x:v>64458.33</x:v>
      </x:c>
      <x:c r="D24" s="4" t="n">
        <x:v>64458.33</x:v>
      </x:c>
      <x:c r="E24" s="4" t="n">
        <x:v>18692.92</x:v>
      </x:c>
      <x:c r="F24" s="4" t="n">
        <x:v>18370.62</x:v>
      </x:c>
      <x:c r="G24" s="4" t="n">
        <x:v>20626.67</x:v>
      </x:c>
      <x:c r="H24" s="4" t="n">
        <x:v>20304.37</x:v>
      </x:c>
      <x:c r="I24" s="4" t="n">
        <x:v>11602.5</x:v>
      </x:c>
      <x:c r="J24" s="4" t="n">
        <x:v>11486.48</x:v>
      </x:c>
    </x:row>
    <x:row r="25">
      <x:c r="A25" s="2" t="n">
        <x:v>46054</x:v>
      </x:c>
      <x:c r="B25" t="str">
        <x:v>Camden</x:v>
      </x:c>
      <x:c r="C25" s="4" t="n">
        <x:v>68250</x:v>
      </x:c>
      <x:c r="D25" s="4" t="n">
        <x:v>67567.5</x:v>
      </x:c>
      <x:c r="E25" s="4" t="n">
        <x:v>17062.5</x:v>
      </x:c>
      <x:c r="F25" s="4" t="n">
        <x:v>17229.71</x:v>
      </x:c>
      <x:c r="G25" s="4" t="n">
        <x:v>19792.5</x:v>
      </x:c>
      <x:c r="H25" s="4" t="n">
        <x:v>19256.74</x:v>
      </x:c>
      <x:c r="I25" s="4" t="n">
        <x:v>12285</x:v>
      </x:c>
      <x:c r="J25" s="4" t="n">
        <x:v>12407.85</x:v>
      </x:c>
    </x:row>
    <x:row r="26">
      <x:c r="A26" s="2" t="n">
        <x:v>46082</x:v>
      </x:c>
      <x:c r="B26" t="str">
        <x:v>Soho</x:v>
      </x:c>
      <x:c r="C26" s="4" t="n">
        <x:v>133375</x:v>
      </x:c>
      <x:c r="D26" s="4" t="n">
        <x:v>132041.25</x:v>
      </x:c>
      <x:c r="E26" s="4" t="n">
        <x:v>38678.75</x:v>
      </x:c>
      <x:c r="F26" s="4" t="n">
        <x:v>38952.17</x:v>
      </x:c>
      <x:c r="G26" s="4" t="n">
        <x:v>41346.25</x:v>
      </x:c>
      <x:c r="H26" s="4" t="n">
        <x:v>41592.99</x:v>
      </x:c>
      <x:c r="I26" s="4" t="n">
        <x:v>26675</x:v>
      </x:c>
      <x:c r="J26" s="4" t="n">
        <x:v>27208.5</x:v>
      </x:c>
    </x:row>
    <x:row r="27">
      <x:c r="A27" s="2" t="n">
        <x:v>46082</x:v>
      </x:c>
      <x:c r="B27" t="str">
        <x:v>Vauxhall</x:v>
      </x:c>
      <x:c r="C27" s="4" t="n">
        <x:v>113166.67</x:v>
      </x:c>
      <x:c r="D27" s="4" t="n">
        <x:v>108640</x:v>
      </x:c>
      <x:c r="E27" s="4" t="n">
        <x:v>32818.33</x:v>
      </x:c>
      <x:c r="F27" s="4" t="n">
        <x:v>35199.36</x:v>
      </x:c>
      <x:c r="G27" s="4" t="n">
        <x:v>33950</x:v>
      </x:c>
      <x:c r="H27" s="4" t="n">
        <x:v>34330.24</x:v>
      </x:c>
      <x:c r="I27" s="4" t="n">
        <x:v>21501.67</x:v>
      </x:c>
      <x:c r="J27" s="4" t="n">
        <x:v>22576.75</x:v>
      </x:c>
    </x:row>
    <x:row r="28">
      <x:c r="A28" s="2" t="n">
        <x:v>46082</x:v>
      </x:c>
      <x:c r="B28" t="str">
        <x:v>Borough</x:v>
      </x:c>
      <x:c r="C28" s="4" t="n">
        <x:v>68708.33</x:v>
      </x:c>
      <x:c r="D28" s="4" t="n">
        <x:v>69395.41</x:v>
      </x:c>
      <x:c r="E28" s="4" t="n">
        <x:v>19925.42</x:v>
      </x:c>
      <x:c r="F28" s="4" t="n">
        <x:v>19777.69</x:v>
      </x:c>
      <x:c r="G28" s="4" t="n">
        <x:v>21986.67</x:v>
      </x:c>
      <x:c r="H28" s="4" t="n">
        <x:v>21859.55</x:v>
      </x:c>
      <x:c r="I28" s="4" t="n">
        <x:v>12367.5</x:v>
      </x:c>
      <x:c r="J28" s="4" t="n">
        <x:v>12243.83</x:v>
      </x:c>
    </x:row>
    <x:row r="29">
      <x:c r="A29" s="2" t="n">
        <x:v>46082</x:v>
      </x:c>
      <x:c r="B29" t="str">
        <x:v>Camden</x:v>
      </x:c>
      <x:c r="C29" s="4" t="n">
        <x:v>72750</x:v>
      </x:c>
      <x:c r="D29" s="4" t="n">
        <x:v>74205</x:v>
      </x:c>
      <x:c r="E29" s="4" t="n">
        <x:v>18187.5</x:v>
      </x:c>
      <x:c r="F29" s="4" t="n">
        <x:v>18922.28</x:v>
      </x:c>
      <x:c r="G29" s="4" t="n">
        <x:v>21097.5</x:v>
      </x:c>
      <x:c r="H29" s="4" t="n">
        <x:v>21148.42</x:v>
      </x:c>
      <x:c r="I29" s="4" t="n">
        <x:v>13095</x:v>
      </x:c>
      <x:c r="J29" s="4" t="n">
        <x:v>13225.95</x:v>
      </x:c>
    </x:row>
    <x:row r="30">
      <x:c r="A30" s="2" t="n">
        <x:v>46113</x:v>
      </x:c>
      <x:c r="B30" t="str">
        <x:v>Soho</x:v>
      </x:c>
      <x:c r="C30" s="4" t="n">
        <x:v>136125</x:v>
      </x:c>
      <x:c r="D30" s="4" t="n">
        <x:v>136125</x:v>
      </x:c>
      <x:c r="E30" s="4" t="n">
        <x:v>39476.25</x:v>
      </x:c>
      <x:c r="F30" s="4" t="n">
        <x:v>40156.88</x:v>
      </x:c>
      <x:c r="G30" s="4" t="n">
        <x:v>42198.75</x:v>
      </x:c>
      <x:c r="H30" s="4" t="n">
        <x:v>42879.38</x:v>
      </x:c>
      <x:c r="I30" s="4" t="n">
        <x:v>27225</x:v>
      </x:c>
      <x:c r="J30" s="4" t="n">
        <x:v>27769.5</x:v>
      </x:c>
    </x:row>
    <x:row r="31">
      <x:c r="A31" s="2" t="n">
        <x:v>46113</x:v>
      </x:c>
      <x:c r="B31" t="str">
        <x:v>Vauxhall</x:v>
      </x:c>
      <x:c r="C31" s="4" t="n">
        <x:v>115500</x:v>
      </x:c>
      <x:c r="D31" s="4" t="n">
        <x:v>112035</x:v>
      </x:c>
      <x:c r="E31" s="4" t="n">
        <x:v>33495</x:v>
      </x:c>
      <x:c r="F31" s="4" t="n">
        <x:v>36523.41</x:v>
      </x:c>
      <x:c r="G31" s="4" t="n">
        <x:v>34650</x:v>
      </x:c>
      <x:c r="H31" s="4" t="n">
        <x:v>35403.06</x:v>
      </x:c>
      <x:c r="I31" s="4" t="n">
        <x:v>21945</x:v>
      </x:c>
      <x:c r="J31" s="4" t="n">
        <x:v>23920.05</x:v>
      </x:c>
    </x:row>
    <x:row r="32">
      <x:c r="A32" s="2" t="n">
        <x:v>46113</x:v>
      </x:c>
      <x:c r="B32" t="str">
        <x:v>Borough</x:v>
      </x:c>
      <x:c r="C32" s="4" t="n">
        <x:v>70125</x:v>
      </x:c>
      <x:c r="D32" s="4" t="n">
        <x:v>72228.75</x:v>
      </x:c>
      <x:c r="E32" s="4" t="n">
        <x:v>20336.25</x:v>
      </x:c>
      <x:c r="F32" s="4" t="n">
        <x:v>20585.19</x:v>
      </x:c>
      <x:c r="G32" s="4" t="n">
        <x:v>22440</x:v>
      </x:c>
      <x:c r="H32" s="4" t="n">
        <x:v>22752.06</x:v>
      </x:c>
      <x:c r="I32" s="4" t="n">
        <x:v>12622.5</x:v>
      </x:c>
      <x:c r="J32" s="4" t="n">
        <x:v>12496.27</x:v>
      </x:c>
    </x:row>
    <x:row r="33">
      <x:c r="A33" s="2" t="n">
        <x:v>46113</x:v>
      </x:c>
      <x:c r="B33" t="str">
        <x:v>Camden</x:v>
      </x:c>
      <x:c r="C33" s="4" t="n">
        <x:v>74250</x:v>
      </x:c>
      <x:c r="D33" s="4" t="n">
        <x:v>77220</x:v>
      </x:c>
      <x:c r="E33" s="4" t="n">
        <x:v>18562.5</x:v>
      </x:c>
      <x:c r="F33" s="4" t="n">
        <x:v>19691.1</x:v>
      </x:c>
      <x:c r="G33" s="4" t="n">
        <x:v>21532.5</x:v>
      </x:c>
      <x:c r="H33" s="4" t="n">
        <x:v>22007.7</x:v>
      </x:c>
      <x:c r="I33" s="4" t="n">
        <x:v>13365</x:v>
      </x:c>
      <x:c r="J33" s="4" t="n">
        <x:v>13498.65</x:v>
      </x:c>
    </x:row>
    <x:row r="34">
      <x:c r="A34" s="2" t="n">
        <x:v>46143</x:v>
      </x:c>
      <x:c r="B34" t="str">
        <x:v>Soho</x:v>
      </x:c>
      <x:c r="C34" s="4" t="n">
        <x:v>140250</x:v>
      </x:c>
      <x:c r="D34" s="4" t="n">
        <x:v>141652.5</x:v>
      </x:c>
      <x:c r="E34" s="4" t="n">
        <x:v>40672.5</x:v>
      </x:c>
      <x:c r="F34" s="4" t="n">
        <x:v>41787.49</x:v>
      </x:c>
      <x:c r="G34" s="4" t="n">
        <x:v>43477.5</x:v>
      </x:c>
      <x:c r="H34" s="4" t="n">
        <x:v>44620.54</x:v>
      </x:c>
      <x:c r="I34" s="4" t="n">
        <x:v>28050</x:v>
      </x:c>
      <x:c r="J34" s="4" t="n">
        <x:v>28611</x:v>
      </x:c>
    </x:row>
    <x:row r="35">
      <x:c r="A35" s="2" t="n">
        <x:v>46143</x:v>
      </x:c>
      <x:c r="B35" t="str">
        <x:v>Vauxhall</x:v>
      </x:c>
      <x:c r="C35" s="4" t="n">
        <x:v>119000</x:v>
      </x:c>
      <x:c r="D35" s="4" t="n">
        <x:v>113050</x:v>
      </x:c>
      <x:c r="E35" s="4" t="n">
        <x:v>34510</x:v>
      </x:c>
      <x:c r="F35" s="4" t="n">
        <x:v>37080.4</x:v>
      </x:c>
      <x:c r="G35" s="4" t="n">
        <x:v>35700</x:v>
      </x:c>
      <x:c r="H35" s="4" t="n">
        <x:v>35723.8</x:v>
      </x:c>
      <x:c r="I35" s="4" t="n">
        <x:v>22610</x:v>
      </x:c>
      <x:c r="J35" s="4" t="n">
        <x:v>24644.9</x:v>
      </x:c>
    </x:row>
    <x:row r="36">
      <x:c r="A36" s="2" t="n">
        <x:v>46143</x:v>
      </x:c>
      <x:c r="B36" t="str">
        <x:v>Borough</x:v>
      </x:c>
      <x:c r="C36" s="4" t="n">
        <x:v>72250</x:v>
      </x:c>
      <x:c r="D36" s="4" t="n">
        <x:v>73695</x:v>
      </x:c>
      <x:c r="E36" s="4" t="n">
        <x:v>20952.5</x:v>
      </x:c>
      <x:c r="F36" s="4" t="n">
        <x:v>21003.07</x:v>
      </x:c>
      <x:c r="G36" s="4" t="n">
        <x:v>23120</x:v>
      </x:c>
      <x:c r="H36" s="4" t="n">
        <x:v>23213.92</x:v>
      </x:c>
      <x:c r="I36" s="4" t="n">
        <x:v>13005</x:v>
      </x:c>
      <x:c r="J36" s="4" t="n">
        <x:v>12874.95</x:v>
      </x:c>
    </x:row>
    <x:row r="37">
      <x:c r="A37" s="2" t="n">
        <x:v>46143</x:v>
      </x:c>
      <x:c r="B37" t="str">
        <x:v>Camden</x:v>
      </x:c>
      <x:c r="C37" s="4" t="n">
        <x:v>76500</x:v>
      </x:c>
      <x:c r="D37" s="4" t="n">
        <x:v>80325</x:v>
      </x:c>
      <x:c r="E37" s="4" t="n">
        <x:v>19125</x:v>
      </x:c>
      <x:c r="F37" s="4" t="n">
        <x:v>20482.88</x:v>
      </x:c>
      <x:c r="G37" s="4" t="n">
        <x:v>22185</x:v>
      </x:c>
      <x:c r="H37" s="4" t="n">
        <x:v>22892.62</x:v>
      </x:c>
      <x:c r="I37" s="4" t="n">
        <x:v>13770</x:v>
      </x:c>
      <x:c r="J37" s="4" t="n">
        <x:v>13907.7</x:v>
      </x:c>
    </x:row>
    <x:row r="38">
      <x:c r="A38" s="2" t="n">
        <x:v>46174</x:v>
      </x:c>
      <x:c r="B38" t="str">
        <x:v>Soho</x:v>
      </x:c>
      <x:c r="C38" s="4" t="n">
        <x:v>144375</x:v>
      </x:c>
      <x:c r="D38" s="4" t="n">
        <x:v>141487.5</x:v>
      </x:c>
      <x:c r="E38" s="4" t="n">
        <x:v>41868.75</x:v>
      </x:c>
      <x:c r="F38" s="4" t="n">
        <x:v>41738.81</x:v>
      </x:c>
      <x:c r="G38" s="4" t="n">
        <x:v>44756.25</x:v>
      </x:c>
      <x:c r="H38" s="4" t="n">
        <x:v>44568.56</x:v>
      </x:c>
      <x:c r="I38" s="4" t="n">
        <x:v>28875</x:v>
      </x:c>
      <x:c r="J38" s="4" t="n">
        <x:v>29452.5</x:v>
      </x:c>
    </x:row>
    <x:row r="39">
      <x:c r="A39" s="2" t="n">
        <x:v>46174</x:v>
      </x:c>
      <x:c r="B39" t="str">
        <x:v>Vauxhall</x:v>
      </x:c>
      <x:c r="C39" s="4" t="n">
        <x:v>122500</x:v>
      </x:c>
      <x:c r="D39" s="4" t="n">
        <x:v>115150</x:v>
      </x:c>
      <x:c r="E39" s="4" t="n">
        <x:v>35525</x:v>
      </x:c>
      <x:c r="F39" s="4" t="n">
        <x:v>37999.5</x:v>
      </x:c>
      <x:c r="G39" s="4" t="n">
        <x:v>36750</x:v>
      </x:c>
      <x:c r="H39" s="4" t="n">
        <x:v>36387.4</x:v>
      </x:c>
      <x:c r="I39" s="4" t="n">
        <x:v>23275</x:v>
      </x:c>
      <x:c r="J39" s="4" t="n">
        <x:v>25369.75</x:v>
      </x:c>
    </x:row>
    <x:row r="40">
      <x:c r="A40" s="2" t="n">
        <x:v>46174</x:v>
      </x:c>
      <x:c r="B40" t="str">
        <x:v>Borough</x:v>
      </x:c>
      <x:c r="C40" s="4" t="n">
        <x:v>74375</x:v>
      </x:c>
      <x:c r="D40" s="4" t="n">
        <x:v>75118.75</x:v>
      </x:c>
      <x:c r="E40" s="4" t="n">
        <x:v>21568.75</x:v>
      </x:c>
      <x:c r="F40" s="4" t="n">
        <x:v>21408.84</x:v>
      </x:c>
      <x:c r="G40" s="4" t="n">
        <x:v>23800</x:v>
      </x:c>
      <x:c r="H40" s="4" t="n">
        <x:v>23662.41</x:v>
      </x:c>
      <x:c r="I40" s="4" t="n">
        <x:v>13387.5</x:v>
      </x:c>
      <x:c r="J40" s="4" t="n">
        <x:v>13253.62</x:v>
      </x:c>
    </x:row>
    <x:row r="41">
      <x:c r="A41" s="2" t="n">
        <x:v>46174</x:v>
      </x:c>
      <x:c r="B41" t="str">
        <x:v>Camden</x:v>
      </x:c>
      <x:c r="C41" s="4" t="n">
        <x:v>78750</x:v>
      </x:c>
      <x:c r="D41" s="4" t="n">
        <x:v>81112.5</x:v>
      </x:c>
      <x:c r="E41" s="4" t="n">
        <x:v>19687.5</x:v>
      </x:c>
      <x:c r="F41" s="4" t="n">
        <x:v>20683.69</x:v>
      </x:c>
      <x:c r="G41" s="4" t="n">
        <x:v>22837.5</x:v>
      </x:c>
      <x:c r="H41" s="4" t="n">
        <x:v>23117.06</x:v>
      </x:c>
      <x:c r="I41" s="4" t="n">
        <x:v>14175</x:v>
      </x:c>
      <x:c r="J41" s="4" t="n">
        <x:v>14316.75</x:v>
      </x:c>
    </x:row>
    <x:row r="42">
      <x:c r="A42" s="2" t="n">
        <x:v>46204</x:v>
      </x:c>
      <x:c r="B42" t="str">
        <x:v>Soho</x:v>
      </x:c>
      <x:c r="C42" s="4" t="n">
        <x:v>137500</x:v>
      </x:c>
      <x:c r="D42" s="4" t="n">
        <x:v>133375</x:v>
      </x:c>
      <x:c r="E42" s="4" t="n">
        <x:v>39875</x:v>
      </x:c>
      <x:c r="F42" s="4" t="n">
        <x:v>39345.62</x:v>
      </x:c>
      <x:c r="G42" s="4" t="n">
        <x:v>42625</x:v>
      </x:c>
      <x:c r="H42" s="4" t="n">
        <x:v>42013.12</x:v>
      </x:c>
      <x:c r="I42" s="4" t="n">
        <x:v>27500</x:v>
      </x:c>
      <x:c r="J42" s="4" t="n">
        <x:v>28050</x:v>
      </x:c>
    </x:row>
    <x:row r="43">
      <x:c r="A43" s="2" t="n">
        <x:v>46204</x:v>
      </x:c>
      <x:c r="B43" t="str">
        <x:v>Vauxhall</x:v>
      </x:c>
      <x:c r="C43" s="4" t="n">
        <x:v>116666.67</x:v>
      </x:c>
      <x:c r="D43" s="4" t="n">
        <x:v>108500</x:v>
      </x:c>
      <x:c r="E43" s="4" t="n">
        <x:v>33833.33</x:v>
      </x:c>
      <x:c r="F43" s="4" t="n">
        <x:v>36022</x:v>
      </x:c>
      <x:c r="G43" s="4" t="n">
        <x:v>35000</x:v>
      </x:c>
      <x:c r="H43" s="4" t="n">
        <x:v>34286</x:v>
      </x:c>
      <x:c r="I43" s="4" t="n">
        <x:v>22166.67</x:v>
      </x:c>
      <x:c r="J43" s="4" t="n">
        <x:v>23275</x:v>
      </x:c>
    </x:row>
    <x:row r="44">
      <x:c r="A44" s="2" t="n">
        <x:v>46204</x:v>
      </x:c>
      <x:c r="B44" t="str">
        <x:v>Borough</x:v>
      </x:c>
      <x:c r="C44" s="4" t="n">
        <x:v>70833.33</x:v>
      </x:c>
      <x:c r="D44" s="4" t="n">
        <x:v>70833.33</x:v>
      </x:c>
      <x:c r="E44" s="4" t="n">
        <x:v>20541.67</x:v>
      </x:c>
      <x:c r="F44" s="4" t="n">
        <x:v>20187.5</x:v>
      </x:c>
      <x:c r="G44" s="4" t="n">
        <x:v>22666.67</x:v>
      </x:c>
      <x:c r="H44" s="4" t="n">
        <x:v>22312.5</x:v>
      </x:c>
      <x:c r="I44" s="4" t="n">
        <x:v>12750</x:v>
      </x:c>
      <x:c r="J44" s="4" t="n">
        <x:v>12622.5</x:v>
      </x:c>
    </x:row>
    <x:row r="45">
      <x:c r="A45" s="2" t="n">
        <x:v>46204</x:v>
      </x:c>
      <x:c r="B45" t="str">
        <x:v>Camden</x:v>
      </x:c>
      <x:c r="C45" s="4" t="n">
        <x:v>75000</x:v>
      </x:c>
      <x:c r="D45" s="4" t="n">
        <x:v>78000</x:v>
      </x:c>
      <x:c r="E45" s="4" t="n">
        <x:v>18750</x:v>
      </x:c>
      <x:c r="F45" s="4" t="n">
        <x:v>19890</x:v>
      </x:c>
      <x:c r="G45" s="4" t="n">
        <x:v>21750</x:v>
      </x:c>
      <x:c r="H45" s="4" t="n">
        <x:v>22230</x:v>
      </x:c>
      <x:c r="I45" s="4" t="n">
        <x:v>13500</x:v>
      </x:c>
      <x:c r="J45" s="4" t="n">
        <x:v>13635</x:v>
      </x:c>
    </x:row>
    <x:row r="46">
      <x:c r="A46" s="2" t="n">
        <x:v>46235</x:v>
      </x:c>
      <x:c r="B46" t="str">
        <x:v>Soho</x:v>
      </x:c>
      <x:c r="C46" s="4" t="n">
        <x:v>144375</x:v>
      </x:c>
      <x:c r="D46" s="4" t="n">
        <x:v>138600</x:v>
      </x:c>
      <x:c r="E46" s="4" t="n">
        <x:v>41868.75</x:v>
      </x:c>
      <x:c r="F46" s="4" t="n">
        <x:v>40887</x:v>
      </x:c>
      <x:c r="G46" s="4" t="n">
        <x:v>44756.25</x:v>
      </x:c>
      <x:c r="H46" s="4" t="n">
        <x:v>43659</x:v>
      </x:c>
      <x:c r="I46" s="4" t="n">
        <x:v>28875</x:v>
      </x:c>
      <x:c r="J46" s="4" t="n">
        <x:v>29452.5</x:v>
      </x:c>
    </x:row>
    <x:row r="47">
      <x:c r="A47" s="2" t="n">
        <x:v>46235</x:v>
      </x:c>
      <x:c r="B47" t="str">
        <x:v>Vauxhall</x:v>
      </x:c>
      <x:c r="C47" s="4" t="n">
        <x:v>122500</x:v>
      </x:c>
      <x:c r="D47" s="4" t="n">
        <x:v>112700</x:v>
      </x:c>
      <x:c r="E47" s="4" t="n">
        <x:v>35525</x:v>
      </x:c>
      <x:c r="F47" s="4" t="n">
        <x:v>37641.8</x:v>
      </x:c>
      <x:c r="G47" s="4" t="n">
        <x:v>36750</x:v>
      </x:c>
      <x:c r="H47" s="4" t="n">
        <x:v>35613.2</x:v>
      </x:c>
      <x:c r="I47" s="4" t="n">
        <x:v>23275</x:v>
      </x:c>
      <x:c r="J47" s="4" t="n">
        <x:v>24438.75</x:v>
      </x:c>
    </x:row>
    <x:row r="48">
      <x:c r="A48" s="2" t="n">
        <x:v>46235</x:v>
      </x:c>
      <x:c r="B48" t="str">
        <x:v>Borough</x:v>
      </x:c>
      <x:c r="C48" s="4" t="n">
        <x:v>74375</x:v>
      </x:c>
      <x:c r="D48" s="4" t="n">
        <x:v>75118.75</x:v>
      </x:c>
      <x:c r="E48" s="4" t="n">
        <x:v>21568.75</x:v>
      </x:c>
      <x:c r="F48" s="4" t="n">
        <x:v>21408.84</x:v>
      </x:c>
      <x:c r="G48" s="4" t="n">
        <x:v>23800</x:v>
      </x:c>
      <x:c r="H48" s="4" t="n">
        <x:v>23662.41</x:v>
      </x:c>
      <x:c r="I48" s="4" t="n">
        <x:v>13387.5</x:v>
      </x:c>
      <x:c r="J48" s="4" t="n">
        <x:v>13253.62</x:v>
      </x:c>
    </x:row>
    <x:row r="49">
      <x:c r="A49" s="2" t="n">
        <x:v>46235</x:v>
      </x:c>
      <x:c r="B49" t="str">
        <x:v>Camden</x:v>
      </x:c>
      <x:c r="C49" s="4" t="n">
        <x:v>78750</x:v>
      </x:c>
      <x:c r="D49" s="4" t="n">
        <x:v>83475</x:v>
      </x:c>
      <x:c r="E49" s="4" t="n">
        <x:v>19687.5</x:v>
      </x:c>
      <x:c r="F49" s="4" t="n">
        <x:v>21286.12</x:v>
      </x:c>
      <x:c r="G49" s="4" t="n">
        <x:v>22837.5</x:v>
      </x:c>
      <x:c r="H49" s="4" t="n">
        <x:v>23790.37</x:v>
      </x:c>
      <x:c r="I49" s="4" t="n">
        <x:v>14175</x:v>
      </x:c>
      <x:c r="J49" s="4" t="n">
        <x:v>14316.75</x:v>
      </x:c>
    </x:row>
  </x:sheetData>
  <x:pageMargins left="0.7" right="0.7" top="0.75" bottom="0.75" header="0.3" footer="0.3"/>
  <x:tableParts count="1">
    <x:tablePart xmlns:r="http://schemas.openxmlformats.org/officeDocument/2006/relationships" r:id="R13161c2ce0744a6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  <x:col min="7" max="7" width="28" hidden="0" customWidth="1"/>
  </x:cols>
  <x:sheetData>
    <x:row r="1" ht="30" customHeight="1">
      <x:c r="A1" s="12" t="str">
        <x:v>Month</x:v>
      </x:c>
      <x:c r="B1" s="12" t="str">
        <x:v>Supplier</x:v>
      </x:c>
      <x:c r="C1" s="12" t="str">
        <x:v>Category</x:v>
      </x:c>
      <x:c r="D1" s="12" t="str">
        <x:v>Site</x:v>
      </x:c>
      <x:c r="E1" s="12" t="str">
        <x:v>Spend</x:v>
      </x:c>
      <x:c r="F1" s="12" t="str">
        <x:v>Agreed Monthly Baseline</x:v>
      </x:c>
      <x:c r="G1" s="12" t="str">
        <x:v>Notes</x:v>
      </x:c>
    </x:row>
    <x:row r="2">
      <x:c r="A2" s="2" t="n">
        <x:v>45901</x:v>
      </x:c>
      <x:c r="B2" t="str">
        <x:v>Fresh Foods Ltd</x:v>
      </x:c>
      <x:c r="C2" t="str">
        <x:v>Food</x:v>
      </x:c>
      <x:c r="D2" t="str">
        <x:v>Soho</x:v>
      </x:c>
      <x:c r="E2" s="4" t="n">
        <x:v>9605.96</x:v>
      </x:c>
      <x:c r="F2" s="4" t="n">
        <x:v>9500</x:v>
      </x:c>
      <x:c r="G2" t="str"/>
    </x:row>
    <x:row r="3">
      <x:c r="A3" s="2" t="n">
        <x:v>45901</x:v>
      </x:c>
      <x:c r="B3" t="str">
        <x:v>Fresh Foods Ltd</x:v>
      </x:c>
      <x:c r="C3" t="str">
        <x:v>Food</x:v>
      </x:c>
      <x:c r="D3" t="str">
        <x:v>Vauxhall</x:v>
      </x:c>
      <x:c r="E3" s="4" t="n">
        <x:v>7888.41</x:v>
      </x:c>
      <x:c r="F3" s="4" t="n">
        <x:v>8200</x:v>
      </x:c>
      <x:c r="G3" t="str"/>
    </x:row>
    <x:row r="4">
      <x:c r="A4" s="2" t="n">
        <x:v>45901</x:v>
      </x:c>
      <x:c r="B4" t="str">
        <x:v>Fresh Foods Ltd</x:v>
      </x:c>
      <x:c r="C4" t="str">
        <x:v>Food</x:v>
      </x:c>
      <x:c r="D4" t="str">
        <x:v>Borough</x:v>
      </x:c>
      <x:c r="E4" s="4" t="n">
        <x:v>4124.41</x:v>
      </x:c>
      <x:c r="F4" s="4" t="n">
        <x:v>4200</x:v>
      </x:c>
      <x:c r="G4" t="str"/>
    </x:row>
    <x:row r="5">
      <x:c r="A5" s="2" t="n">
        <x:v>45901</x:v>
      </x:c>
      <x:c r="B5" t="str">
        <x:v>Fresh Foods Ltd</x:v>
      </x:c>
      <x:c r="C5" t="str">
        <x:v>Food</x:v>
      </x:c>
      <x:c r="D5" t="str">
        <x:v>Camden</x:v>
      </x:c>
      <x:c r="E5" s="4" t="n">
        <x:v>1760.14</x:v>
      </x:c>
      <x:c r="F5" s="4" t="n">
        <x:v>1800</x:v>
      </x:c>
      <x:c r="G5" t="str"/>
    </x:row>
    <x:row r="6">
      <x:c r="A6" s="2" t="n">
        <x:v>45901</x:v>
      </x:c>
      <x:c r="B6" t="str">
        <x:v>City Beverages</x:v>
      </x:c>
      <x:c r="C6" t="str">
        <x:v>Beverage</x:v>
      </x:c>
      <x:c r="D6" t="str">
        <x:v>Soho</x:v>
      </x:c>
      <x:c r="E6" s="4" t="n">
        <x:v>7132.42</x:v>
      </x:c>
      <x:c r="F6" s="4" t="n">
        <x:v>7000</x:v>
      </x:c>
      <x:c r="G6" t="str"/>
    </x:row>
    <x:row r="7">
      <x:c r="A7" s="2" t="n">
        <x:v>45901</x:v>
      </x:c>
      <x:c r="B7" t="str">
        <x:v>City Beverages</x:v>
      </x:c>
      <x:c r="C7" t="str">
        <x:v>Beverage</x:v>
      </x:c>
      <x:c r="D7" t="str">
        <x:v>Vauxhall</x:v>
      </x:c>
      <x:c r="E7" s="4" t="n">
        <x:v>6287.64</x:v>
      </x:c>
      <x:c r="F7" s="4" t="n">
        <x:v>6200</x:v>
      </x:c>
      <x:c r="G7" t="str"/>
    </x:row>
    <x:row r="8">
      <x:c r="A8" s="2" t="n">
        <x:v>45901</x:v>
      </x:c>
      <x:c r="B8" t="str">
        <x:v>City Beverages</x:v>
      </x:c>
      <x:c r="C8" t="str">
        <x:v>Beverage</x:v>
      </x:c>
      <x:c r="D8" t="str">
        <x:v>Borough</x:v>
      </x:c>
      <x:c r="E8" s="4" t="n">
        <x:v>2681.57</x:v>
      </x:c>
      <x:c r="F8" s="4" t="n">
        <x:v>2600</x:v>
      </x:c>
      <x:c r="G8" t="str"/>
    </x:row>
    <x:row r="9">
      <x:c r="A9" s="2" t="n">
        <x:v>45901</x:v>
      </x:c>
      <x:c r="B9" t="str">
        <x:v>City Beverages</x:v>
      </x:c>
      <x:c r="C9" t="str">
        <x:v>Beverage</x:v>
      </x:c>
      <x:c r="D9" t="str">
        <x:v>Camden</x:v>
      </x:c>
      <x:c r="E9" s="4" t="n">
        <x:v>8702.6</x:v>
      </x:c>
      <x:c r="F9" s="4" t="n">
        <x:v>9000</x:v>
      </x:c>
      <x:c r="G9" t="str"/>
    </x:row>
    <x:row r="10">
      <x:c r="A10" s="2" t="n">
        <x:v>45901</x:v>
      </x:c>
      <x:c r="B10" t="str">
        <x:v>Prime Meat Co</x:v>
      </x:c>
      <x:c r="C10" t="str">
        <x:v>Food</x:v>
      </x:c>
      <x:c r="D10" t="str">
        <x:v>Soho</x:v>
      </x:c>
      <x:c r="E10" s="4" t="n">
        <x:v>5962.52</x:v>
      </x:c>
      <x:c r="F10" s="4" t="n">
        <x:v>6000</x:v>
      </x:c>
      <x:c r="G10" t="str"/>
    </x:row>
    <x:row r="11">
      <x:c r="A11" s="2" t="n">
        <x:v>45901</x:v>
      </x:c>
      <x:c r="B11" t="str">
        <x:v>Prime Meat Co</x:v>
      </x:c>
      <x:c r="C11" t="str">
        <x:v>Food</x:v>
      </x:c>
      <x:c r="D11" t="str">
        <x:v>Vauxhall</x:v>
      </x:c>
      <x:c r="E11" s="4" t="n">
        <x:v>5004.4</x:v>
      </x:c>
      <x:c r="F11" s="4" t="n">
        <x:v>5200</x:v>
      </x:c>
      <x:c r="G11" t="str"/>
    </x:row>
    <x:row r="12">
      <x:c r="A12" s="2" t="n">
        <x:v>45901</x:v>
      </x:c>
      <x:c r="B12" t="str">
        <x:v>Prime Meat Co</x:v>
      </x:c>
      <x:c r="C12" t="str">
        <x:v>Food</x:v>
      </x:c>
      <x:c r="D12" t="str">
        <x:v>Borough</x:v>
      </x:c>
      <x:c r="E12" s="4" t="n">
        <x:v>1466.24</x:v>
      </x:c>
      <x:c r="F12" s="4" t="n">
        <x:v>1500</x:v>
      </x:c>
      <x:c r="G12" t="str"/>
    </x:row>
    <x:row r="13">
      <x:c r="A13" s="2" t="n">
        <x:v>45901</x:v>
      </x:c>
      <x:c r="B13" t="str">
        <x:v>Prime Meat Co</x:v>
      </x:c>
      <x:c r="C13" t="str">
        <x:v>Food</x:v>
      </x:c>
      <x:c r="D13" t="str">
        <x:v>Camden</x:v>
      </x:c>
      <x:c r="E13" s="4" t="n">
        <x:v>500.21</x:v>
      </x:c>
      <x:c r="F13" s="4" t="n">
        <x:v>500</x:v>
      </x:c>
      <x:c r="G13" t="str"/>
    </x:row>
    <x:row r="14">
      <x:c r="A14" s="2" t="n">
        <x:v>45901</x:v>
      </x:c>
      <x:c r="B14" t="str">
        <x:v>CleanPro Services</x:v>
      </x:c>
      <x:c r="C14" t="str">
        <x:v>Cleaning</x:v>
      </x:c>
      <x:c r="D14" t="str">
        <x:v>Soho</x:v>
      </x:c>
      <x:c r="E14" s="4" t="n">
        <x:v>1731.82</x:v>
      </x:c>
      <x:c r="F14" s="4" t="n">
        <x:v>1800</x:v>
      </x:c>
      <x:c r="G14" t="str"/>
    </x:row>
    <x:row r="15">
      <x:c r="A15" s="2" t="n">
        <x:v>45901</x:v>
      </x:c>
      <x:c r="B15" t="str">
        <x:v>CleanPro Services</x:v>
      </x:c>
      <x:c r="C15" t="str">
        <x:v>Cleaning</x:v>
      </x:c>
      <x:c r="D15" t="str">
        <x:v>Vauxhall</x:v>
      </x:c>
      <x:c r="E15" s="4" t="n">
        <x:v>1561.45</x:v>
      </x:c>
      <x:c r="F15" s="4" t="n">
        <x:v>1600</x:v>
      </x:c>
      <x:c r="G15" t="str"/>
    </x:row>
    <x:row r="16">
      <x:c r="A16" s="2" t="n">
        <x:v>45901</x:v>
      </x:c>
      <x:c r="B16" t="str">
        <x:v>CleanPro Services</x:v>
      </x:c>
      <x:c r="C16" t="str">
        <x:v>Cleaning</x:v>
      </x:c>
      <x:c r="D16" t="str">
        <x:v>Borough</x:v>
      </x:c>
      <x:c r="E16" s="4" t="n">
        <x:v>910.79</x:v>
      </x:c>
      <x:c r="F16" s="4" t="n">
        <x:v>900</x:v>
      </x:c>
      <x:c r="G16" t="str"/>
    </x:row>
    <x:row r="17">
      <x:c r="A17" s="2" t="n">
        <x:v>45901</x:v>
      </x:c>
      <x:c r="B17" t="str">
        <x:v>CleanPro Services</x:v>
      </x:c>
      <x:c r="C17" t="str">
        <x:v>Cleaning</x:v>
      </x:c>
      <x:c r="D17" t="str">
        <x:v>Camden</x:v>
      </x:c>
      <x:c r="E17" s="4" t="n">
        <x:v>1204.31</x:v>
      </x:c>
      <x:c r="F17" s="4" t="n">
        <x:v>1200</x:v>
      </x:c>
      <x:c r="G17" t="str"/>
    </x:row>
    <x:row r="18">
      <x:c r="A18" s="2" t="n">
        <x:v>45901</x:v>
      </x:c>
      <x:c r="B18" t="str">
        <x:v>London Linen</x:v>
      </x:c>
      <x:c r="C18" t="str">
        <x:v>Linen</x:v>
      </x:c>
      <x:c r="D18" t="str">
        <x:v>Soho</x:v>
      </x:c>
      <x:c r="E18" s="4" t="n">
        <x:v>1466.45</x:v>
      </x:c>
      <x:c r="F18" s="4" t="n">
        <x:v>1500</x:v>
      </x:c>
      <x:c r="G18" t="str"/>
    </x:row>
    <x:row r="19">
      <x:c r="A19" s="2" t="n">
        <x:v>45901</x:v>
      </x:c>
      <x:c r="B19" t="str">
        <x:v>London Linen</x:v>
      </x:c>
      <x:c r="C19" t="str">
        <x:v>Linen</x:v>
      </x:c>
      <x:c r="D19" t="str">
        <x:v>Vauxhall</x:v>
      </x:c>
      <x:c r="E19" s="4" t="n">
        <x:v>1410</x:v>
      </x:c>
      <x:c r="F19" s="4" t="n">
        <x:v>1400</x:v>
      </x:c>
      <x:c r="G19" t="str"/>
    </x:row>
    <x:row r="20">
      <x:c r="A20" s="2" t="n">
        <x:v>45901</x:v>
      </x:c>
      <x:c r="B20" t="str">
        <x:v>London Linen</x:v>
      </x:c>
      <x:c r="C20" t="str">
        <x:v>Linen</x:v>
      </x:c>
      <x:c r="D20" t="str">
        <x:v>Borough</x:v>
      </x:c>
      <x:c r="E20" s="4" t="n">
        <x:v>717.33</x:v>
      </x:c>
      <x:c r="F20" s="4" t="n">
        <x:v>700</x:v>
      </x:c>
      <x:c r="G20" t="str"/>
    </x:row>
    <x:row r="21">
      <x:c r="A21" s="2" t="n">
        <x:v>45901</x:v>
      </x:c>
      <x:c r="B21" t="str">
        <x:v>London Linen</x:v>
      </x:c>
      <x:c r="C21" t="str">
        <x:v>Linen</x:v>
      </x:c>
      <x:c r="D21" t="str">
        <x:v>Camden</x:v>
      </x:c>
      <x:c r="E21" s="4" t="n">
        <x:v>864.47</x:v>
      </x:c>
      <x:c r="F21" s="4" t="n">
        <x:v>900</x:v>
      </x:c>
      <x:c r="G21" t="str"/>
    </x:row>
    <x:row r="22">
      <x:c r="A22" s="2" t="n">
        <x:v>45901</x:v>
      </x:c>
      <x:c r="B22" t="str">
        <x:v>Rapid Repairs</x:v>
      </x:c>
      <x:c r="C22" t="str">
        <x:v>Maintenance</x:v>
      </x:c>
      <x:c r="D22" t="str">
        <x:v>Soho</x:v>
      </x:c>
      <x:c r="E22" s="4" t="n">
        <x:v>922.02</x:v>
      </x:c>
      <x:c r="F22" s="4" t="n">
        <x:v>900</x:v>
      </x:c>
      <x:c r="G22" t="str"/>
    </x:row>
    <x:row r="23">
      <x:c r="A23" s="2" t="n">
        <x:v>45901</x:v>
      </x:c>
      <x:c r="B23" t="str">
        <x:v>Rapid Repairs</x:v>
      </x:c>
      <x:c r="C23" t="str">
        <x:v>Maintenance</x:v>
      </x:c>
      <x:c r="D23" t="str">
        <x:v>Vauxhall</x:v>
      </x:c>
      <x:c r="E23" s="4" t="n">
        <x:v>863.47</x:v>
      </x:c>
      <x:c r="F23" s="4" t="n">
        <x:v>850</x:v>
      </x:c>
      <x:c r="G23" t="str"/>
    </x:row>
    <x:row r="24">
      <x:c r="A24" s="2" t="n">
        <x:v>45901</x:v>
      </x:c>
      <x:c r="B24" t="str">
        <x:v>Rapid Repairs</x:v>
      </x:c>
      <x:c r="C24" t="str">
        <x:v>Maintenance</x:v>
      </x:c>
      <x:c r="D24" t="str">
        <x:v>Borough</x:v>
      </x:c>
      <x:c r="E24" s="4" t="n">
        <x:v>493.61</x:v>
      </x:c>
      <x:c r="F24" s="4" t="n">
        <x:v>500</x:v>
      </x:c>
      <x:c r="G24" t="str"/>
    </x:row>
    <x:row r="25">
      <x:c r="A25" s="2" t="n">
        <x:v>45901</x:v>
      </x:c>
      <x:c r="B25" t="str">
        <x:v>Rapid Repairs</x:v>
      </x:c>
      <x:c r="C25" t="str">
        <x:v>Maintenance</x:v>
      </x:c>
      <x:c r="D25" t="str">
        <x:v>Camden</x:v>
      </x:c>
      <x:c r="E25" s="4" t="n">
        <x:v>632.08</x:v>
      </x:c>
      <x:c r="F25" s="4" t="n">
        <x:v>650</x:v>
      </x:c>
      <x:c r="G25" t="str"/>
    </x:row>
    <x:row r="26">
      <x:c r="A26" s="2" t="n">
        <x:v>45931</x:v>
      </x:c>
      <x:c r="B26" t="str">
        <x:v>Fresh Foods Ltd</x:v>
      </x:c>
      <x:c r="C26" t="str">
        <x:v>Food</x:v>
      </x:c>
      <x:c r="D26" t="str">
        <x:v>Soho</x:v>
      </x:c>
      <x:c r="E26" s="4" t="n">
        <x:v>9847.48</x:v>
      </x:c>
      <x:c r="F26" s="4" t="n">
        <x:v>9500</x:v>
      </x:c>
      <x:c r="G26" t="str"/>
    </x:row>
    <x:row r="27">
      <x:c r="A27" s="2" t="n">
        <x:v>45931</x:v>
      </x:c>
      <x:c r="B27" t="str">
        <x:v>Fresh Foods Ltd</x:v>
      </x:c>
      <x:c r="C27" t="str">
        <x:v>Food</x:v>
      </x:c>
      <x:c r="D27" t="str">
        <x:v>Vauxhall</x:v>
      </x:c>
      <x:c r="E27" s="4" t="n">
        <x:v>8092.81</x:v>
      </x:c>
      <x:c r="F27" s="4" t="n">
        <x:v>8200</x:v>
      </x:c>
      <x:c r="G27" t="str"/>
    </x:row>
    <x:row r="28">
      <x:c r="A28" s="2" t="n">
        <x:v>45931</x:v>
      </x:c>
      <x:c r="B28" t="str">
        <x:v>Fresh Foods Ltd</x:v>
      </x:c>
      <x:c r="C28" t="str">
        <x:v>Food</x:v>
      </x:c>
      <x:c r="D28" t="str">
        <x:v>Borough</x:v>
      </x:c>
      <x:c r="E28" s="4" t="n">
        <x:v>4063.16</x:v>
      </x:c>
      <x:c r="F28" s="4" t="n">
        <x:v>4200</x:v>
      </x:c>
      <x:c r="G28" t="str"/>
    </x:row>
    <x:row r="29">
      <x:c r="A29" s="2" t="n">
        <x:v>45931</x:v>
      </x:c>
      <x:c r="B29" t="str">
        <x:v>Fresh Foods Ltd</x:v>
      </x:c>
      <x:c r="C29" t="str">
        <x:v>Food</x:v>
      </x:c>
      <x:c r="D29" t="str">
        <x:v>Camden</x:v>
      </x:c>
      <x:c r="E29" s="4" t="n">
        <x:v>1741.93</x:v>
      </x:c>
      <x:c r="F29" s="4" t="n">
        <x:v>1800</x:v>
      </x:c>
      <x:c r="G29" t="str"/>
    </x:row>
    <x:row r="30">
      <x:c r="A30" s="2" t="n">
        <x:v>45931</x:v>
      </x:c>
      <x:c r="B30" t="str">
        <x:v>City Beverages</x:v>
      </x:c>
      <x:c r="C30" t="str">
        <x:v>Beverage</x:v>
      </x:c>
      <x:c r="D30" t="str">
        <x:v>Soho</x:v>
      </x:c>
      <x:c r="E30" s="4" t="n">
        <x:v>7194.6</x:v>
      </x:c>
      <x:c r="F30" s="4" t="n">
        <x:v>7000</x:v>
      </x:c>
      <x:c r="G30" t="str"/>
    </x:row>
    <x:row r="31">
      <x:c r="A31" s="2" t="n">
        <x:v>45931</x:v>
      </x:c>
      <x:c r="B31" t="str">
        <x:v>City Beverages</x:v>
      </x:c>
      <x:c r="C31" t="str">
        <x:v>Beverage</x:v>
      </x:c>
      <x:c r="D31" t="str">
        <x:v>Vauxhall</x:v>
      </x:c>
      <x:c r="E31" s="4" t="n">
        <x:v>6251.45</x:v>
      </x:c>
      <x:c r="F31" s="4" t="n">
        <x:v>6200</x:v>
      </x:c>
      <x:c r="G31" t="str"/>
    </x:row>
    <x:row r="32">
      <x:c r="A32" s="2" t="n">
        <x:v>45931</x:v>
      </x:c>
      <x:c r="B32" t="str">
        <x:v>City Beverages</x:v>
      </x:c>
      <x:c r="C32" t="str">
        <x:v>Beverage</x:v>
      </x:c>
      <x:c r="D32" t="str">
        <x:v>Borough</x:v>
      </x:c>
      <x:c r="E32" s="4" t="n">
        <x:v>2663.88</x:v>
      </x:c>
      <x:c r="F32" s="4" t="n">
        <x:v>2600</x:v>
      </x:c>
      <x:c r="G32" t="str"/>
    </x:row>
    <x:row r="33">
      <x:c r="A33" s="2" t="n">
        <x:v>45931</x:v>
      </x:c>
      <x:c r="B33" t="str">
        <x:v>City Beverages</x:v>
      </x:c>
      <x:c r="C33" t="str">
        <x:v>Beverage</x:v>
      </x:c>
      <x:c r="D33" t="str">
        <x:v>Camden</x:v>
      </x:c>
      <x:c r="E33" s="4" t="n">
        <x:v>9165.41</x:v>
      </x:c>
      <x:c r="F33" s="4" t="n">
        <x:v>9000</x:v>
      </x:c>
      <x:c r="G33" t="str"/>
    </x:row>
    <x:row r="34">
      <x:c r="A34" s="2" t="n">
        <x:v>45931</x:v>
      </x:c>
      <x:c r="B34" t="str">
        <x:v>Prime Meat Co</x:v>
      </x:c>
      <x:c r="C34" t="str">
        <x:v>Food</x:v>
      </x:c>
      <x:c r="D34" t="str">
        <x:v>Soho</x:v>
      </x:c>
      <x:c r="E34" s="4" t="n">
        <x:v>6017.39</x:v>
      </x:c>
      <x:c r="F34" s="4" t="n">
        <x:v>6000</x:v>
      </x:c>
      <x:c r="G34" t="str"/>
    </x:row>
    <x:row r="35">
      <x:c r="A35" s="2" t="n">
        <x:v>45931</x:v>
      </x:c>
      <x:c r="B35" t="str">
        <x:v>Prime Meat Co</x:v>
      </x:c>
      <x:c r="C35" t="str">
        <x:v>Food</x:v>
      </x:c>
      <x:c r="D35" t="str">
        <x:v>Vauxhall</x:v>
      </x:c>
      <x:c r="E35" s="4" t="n">
        <x:v>5396.82</x:v>
      </x:c>
      <x:c r="F35" s="4" t="n">
        <x:v>5200</x:v>
      </x:c>
      <x:c r="G35" t="str"/>
    </x:row>
    <x:row r="36">
      <x:c r="A36" s="2" t="n">
        <x:v>45931</x:v>
      </x:c>
      <x:c r="B36" t="str">
        <x:v>Prime Meat Co</x:v>
      </x:c>
      <x:c r="C36" t="str">
        <x:v>Food</x:v>
      </x:c>
      <x:c r="D36" t="str">
        <x:v>Borough</x:v>
      </x:c>
      <x:c r="E36" s="4" t="n">
        <x:v>1485.42</x:v>
      </x:c>
      <x:c r="F36" s="4" t="n">
        <x:v>1500</x:v>
      </x:c>
      <x:c r="G36" t="str"/>
    </x:row>
    <x:row r="37">
      <x:c r="A37" s="2" t="n">
        <x:v>45931</x:v>
      </x:c>
      <x:c r="B37" t="str">
        <x:v>Prime Meat Co</x:v>
      </x:c>
      <x:c r="C37" t="str">
        <x:v>Food</x:v>
      </x:c>
      <x:c r="D37" t="str">
        <x:v>Camden</x:v>
      </x:c>
      <x:c r="E37" s="4" t="n">
        <x:v>502.08</x:v>
      </x:c>
      <x:c r="F37" s="4" t="n">
        <x:v>500</x:v>
      </x:c>
      <x:c r="G37" t="str"/>
    </x:row>
    <x:row r="38">
      <x:c r="A38" s="2" t="n">
        <x:v>45931</x:v>
      </x:c>
      <x:c r="B38" t="str">
        <x:v>CleanPro Services</x:v>
      </x:c>
      <x:c r="C38" t="str">
        <x:v>Cleaning</x:v>
      </x:c>
      <x:c r="D38" t="str">
        <x:v>Soho</x:v>
      </x:c>
      <x:c r="E38" s="4" t="n">
        <x:v>1847.43</x:v>
      </x:c>
      <x:c r="F38" s="4" t="n">
        <x:v>1800</x:v>
      </x:c>
      <x:c r="G38" t="str"/>
    </x:row>
    <x:row r="39">
      <x:c r="A39" s="2" t="n">
        <x:v>45931</x:v>
      </x:c>
      <x:c r="B39" t="str">
        <x:v>CleanPro Services</x:v>
      </x:c>
      <x:c r="C39" t="str">
        <x:v>Cleaning</x:v>
      </x:c>
      <x:c r="D39" t="str">
        <x:v>Vauxhall</x:v>
      </x:c>
      <x:c r="E39" s="4" t="n">
        <x:v>1615.17</x:v>
      </x:c>
      <x:c r="F39" s="4" t="n">
        <x:v>1600</x:v>
      </x:c>
      <x:c r="G39" t="str"/>
    </x:row>
    <x:row r="40">
      <x:c r="A40" s="2" t="n">
        <x:v>45931</x:v>
      </x:c>
      <x:c r="B40" t="str">
        <x:v>CleanPro Services</x:v>
      </x:c>
      <x:c r="C40" t="str">
        <x:v>Cleaning</x:v>
      </x:c>
      <x:c r="D40" t="str">
        <x:v>Borough</x:v>
      </x:c>
      <x:c r="E40" s="4" t="n">
        <x:v>926.04</x:v>
      </x:c>
      <x:c r="F40" s="4" t="n">
        <x:v>900</x:v>
      </x:c>
      <x:c r="G40" t="str"/>
    </x:row>
    <x:row r="41">
      <x:c r="A41" s="2" t="n">
        <x:v>45931</x:v>
      </x:c>
      <x:c r="B41" t="str">
        <x:v>CleanPro Services</x:v>
      </x:c>
      <x:c r="C41" t="str">
        <x:v>Cleaning</x:v>
      </x:c>
      <x:c r="D41" t="str">
        <x:v>Camden</x:v>
      </x:c>
      <x:c r="E41" s="4" t="n">
        <x:v>1207.43</x:v>
      </x:c>
      <x:c r="F41" s="4" t="n">
        <x:v>1200</x:v>
      </x:c>
      <x:c r="G41" t="str"/>
    </x:row>
    <x:row r="42">
      <x:c r="A42" s="2" t="n">
        <x:v>45931</x:v>
      </x:c>
      <x:c r="B42" t="str">
        <x:v>London Linen</x:v>
      </x:c>
      <x:c r="C42" t="str">
        <x:v>Linen</x:v>
      </x:c>
      <x:c r="D42" t="str">
        <x:v>Soho</x:v>
      </x:c>
      <x:c r="E42" s="4" t="n">
        <x:v>1524.55</x:v>
      </x:c>
      <x:c r="F42" s="4" t="n">
        <x:v>1500</x:v>
      </x:c>
      <x:c r="G42" t="str"/>
    </x:row>
    <x:row r="43">
      <x:c r="A43" s="2" t="n">
        <x:v>45931</x:v>
      </x:c>
      <x:c r="B43" t="str">
        <x:v>London Linen</x:v>
      </x:c>
      <x:c r="C43" t="str">
        <x:v>Linen</x:v>
      </x:c>
      <x:c r="D43" t="str">
        <x:v>Vauxhall</x:v>
      </x:c>
      <x:c r="E43" s="4" t="n">
        <x:v>1349.13</x:v>
      </x:c>
      <x:c r="F43" s="4" t="n">
        <x:v>1400</x:v>
      </x:c>
      <x:c r="G43" t="str"/>
    </x:row>
    <x:row r="44">
      <x:c r="A44" s="2" t="n">
        <x:v>45931</x:v>
      </x:c>
      <x:c r="B44" t="str">
        <x:v>London Linen</x:v>
      </x:c>
      <x:c r="C44" t="str">
        <x:v>Linen</x:v>
      </x:c>
      <x:c r="D44" t="str">
        <x:v>Borough</x:v>
      </x:c>
      <x:c r="E44" s="4" t="n">
        <x:v>684.76</x:v>
      </x:c>
      <x:c r="F44" s="4" t="n">
        <x:v>700</x:v>
      </x:c>
      <x:c r="G44" t="str"/>
    </x:row>
    <x:row r="45">
      <x:c r="A45" s="2" t="n">
        <x:v>45931</x:v>
      </x:c>
      <x:c r="B45" t="str">
        <x:v>London Linen</x:v>
      </x:c>
      <x:c r="C45" t="str">
        <x:v>Linen</x:v>
      </x:c>
      <x:c r="D45" t="str">
        <x:v>Camden</x:v>
      </x:c>
      <x:c r="E45" s="4" t="n">
        <x:v>884.84</x:v>
      </x:c>
      <x:c r="F45" s="4" t="n">
        <x:v>900</x:v>
      </x:c>
      <x:c r="G45" t="str"/>
    </x:row>
    <x:row r="46">
      <x:c r="A46" s="2" t="n">
        <x:v>45931</x:v>
      </x:c>
      <x:c r="B46" t="str">
        <x:v>Rapid Repairs</x:v>
      </x:c>
      <x:c r="C46" t="str">
        <x:v>Maintenance</x:v>
      </x:c>
      <x:c r="D46" t="str">
        <x:v>Soho</x:v>
      </x:c>
      <x:c r="E46" s="4" t="n">
        <x:v>869.75</x:v>
      </x:c>
      <x:c r="F46" s="4" t="n">
        <x:v>900</x:v>
      </x:c>
      <x:c r="G46" t="str"/>
    </x:row>
    <x:row r="47">
      <x:c r="A47" s="2" t="n">
        <x:v>45931</x:v>
      </x:c>
      <x:c r="B47" t="str">
        <x:v>Rapid Repairs</x:v>
      </x:c>
      <x:c r="C47" t="str">
        <x:v>Maintenance</x:v>
      </x:c>
      <x:c r="D47" t="str">
        <x:v>Vauxhall</x:v>
      </x:c>
      <x:c r="E47" s="4" t="n">
        <x:v>831.83</x:v>
      </x:c>
      <x:c r="F47" s="4" t="n">
        <x:v>850</x:v>
      </x:c>
      <x:c r="G47" t="str"/>
    </x:row>
    <x:row r="48">
      <x:c r="A48" s="2" t="n">
        <x:v>45931</x:v>
      </x:c>
      <x:c r="B48" t="str">
        <x:v>Rapid Repairs</x:v>
      </x:c>
      <x:c r="C48" t="str">
        <x:v>Maintenance</x:v>
      </x:c>
      <x:c r="D48" t="str">
        <x:v>Borough</x:v>
      </x:c>
      <x:c r="E48" s="4" t="n">
        <x:v>484.04</x:v>
      </x:c>
      <x:c r="F48" s="4" t="n">
        <x:v>500</x:v>
      </x:c>
      <x:c r="G48" t="str"/>
    </x:row>
    <x:row r="49">
      <x:c r="A49" s="2" t="n">
        <x:v>45931</x:v>
      </x:c>
      <x:c r="B49" t="str">
        <x:v>Rapid Repairs</x:v>
      </x:c>
      <x:c r="C49" t="str">
        <x:v>Maintenance</x:v>
      </x:c>
      <x:c r="D49" t="str">
        <x:v>Camden</x:v>
      </x:c>
      <x:c r="E49" s="4" t="n">
        <x:v>638.45</x:v>
      </x:c>
      <x:c r="F49" s="4" t="n">
        <x:v>650</x:v>
      </x:c>
      <x:c r="G49" t="str"/>
    </x:row>
    <x:row r="50">
      <x:c r="A50" s="2" t="n">
        <x:v>45962</x:v>
      </x:c>
      <x:c r="B50" t="str">
        <x:v>Fresh Foods Ltd</x:v>
      </x:c>
      <x:c r="C50" t="str">
        <x:v>Food</x:v>
      </x:c>
      <x:c r="D50" t="str">
        <x:v>Soho</x:v>
      </x:c>
      <x:c r="E50" s="4" t="n">
        <x:v>9603.12</x:v>
      </x:c>
      <x:c r="F50" s="4" t="n">
        <x:v>9500</x:v>
      </x:c>
      <x:c r="G50" t="str"/>
    </x:row>
    <x:row r="51">
      <x:c r="A51" s="2" t="n">
        <x:v>45962</x:v>
      </x:c>
      <x:c r="B51" t="str">
        <x:v>Fresh Foods Ltd</x:v>
      </x:c>
      <x:c r="C51" t="str">
        <x:v>Food</x:v>
      </x:c>
      <x:c r="D51" t="str">
        <x:v>Vauxhall</x:v>
      </x:c>
      <x:c r="E51" s="4" t="n">
        <x:v>8111.33</x:v>
      </x:c>
      <x:c r="F51" s="4" t="n">
        <x:v>8200</x:v>
      </x:c>
      <x:c r="G51" t="str"/>
    </x:row>
    <x:row r="52">
      <x:c r="A52" s="2" t="n">
        <x:v>45962</x:v>
      </x:c>
      <x:c r="B52" t="str">
        <x:v>Fresh Foods Ltd</x:v>
      </x:c>
      <x:c r="C52" t="str">
        <x:v>Food</x:v>
      </x:c>
      <x:c r="D52" t="str">
        <x:v>Borough</x:v>
      </x:c>
      <x:c r="E52" s="4" t="n">
        <x:v>4156.38</x:v>
      </x:c>
      <x:c r="F52" s="4" t="n">
        <x:v>4200</x:v>
      </x:c>
      <x:c r="G52" t="str"/>
    </x:row>
    <x:row r="53">
      <x:c r="A53" s="2" t="n">
        <x:v>45962</x:v>
      </x:c>
      <x:c r="B53" t="str">
        <x:v>Fresh Foods Ltd</x:v>
      </x:c>
      <x:c r="C53" t="str">
        <x:v>Food</x:v>
      </x:c>
      <x:c r="D53" t="str">
        <x:v>Camden</x:v>
      </x:c>
      <x:c r="E53" s="4" t="n">
        <x:v>1758.17</x:v>
      </x:c>
      <x:c r="F53" s="4" t="n">
        <x:v>1800</x:v>
      </x:c>
      <x:c r="G53" t="str"/>
    </x:row>
    <x:row r="54">
      <x:c r="A54" s="2" t="n">
        <x:v>45962</x:v>
      </x:c>
      <x:c r="B54" t="str">
        <x:v>City Beverages</x:v>
      </x:c>
      <x:c r="C54" t="str">
        <x:v>Beverage</x:v>
      </x:c>
      <x:c r="D54" t="str">
        <x:v>Soho</x:v>
      </x:c>
      <x:c r="E54" s="4" t="n">
        <x:v>6869.51</x:v>
      </x:c>
      <x:c r="F54" s="4" t="n">
        <x:v>7000</x:v>
      </x:c>
      <x:c r="G54" t="str"/>
    </x:row>
    <x:row r="55">
      <x:c r="A55" s="2" t="n">
        <x:v>45962</x:v>
      </x:c>
      <x:c r="B55" t="str">
        <x:v>City Beverages</x:v>
      </x:c>
      <x:c r="C55" t="str">
        <x:v>Beverage</x:v>
      </x:c>
      <x:c r="D55" t="str">
        <x:v>Vauxhall</x:v>
      </x:c>
      <x:c r="E55" s="4" t="n">
        <x:v>6416.58</x:v>
      </x:c>
      <x:c r="F55" s="4" t="n">
        <x:v>6200</x:v>
      </x:c>
      <x:c r="G55" t="str"/>
    </x:row>
    <x:row r="56">
      <x:c r="A56" s="2" t="n">
        <x:v>45962</x:v>
      </x:c>
      <x:c r="B56" t="str">
        <x:v>City Beverages</x:v>
      </x:c>
      <x:c r="C56" t="str">
        <x:v>Beverage</x:v>
      </x:c>
      <x:c r="D56" t="str">
        <x:v>Borough</x:v>
      </x:c>
      <x:c r="E56" s="4" t="n">
        <x:v>2630.79</x:v>
      </x:c>
      <x:c r="F56" s="4" t="n">
        <x:v>2600</x:v>
      </x:c>
      <x:c r="G56" t="str"/>
    </x:row>
    <x:row r="57">
      <x:c r="A57" s="2" t="n">
        <x:v>45962</x:v>
      </x:c>
      <x:c r="B57" t="str">
        <x:v>City Beverages</x:v>
      </x:c>
      <x:c r="C57" t="str">
        <x:v>Beverage</x:v>
      </x:c>
      <x:c r="D57" t="str">
        <x:v>Camden</x:v>
      </x:c>
      <x:c r="E57" s="4" t="n">
        <x:v>9078.57</x:v>
      </x:c>
      <x:c r="F57" s="4" t="n">
        <x:v>9000</x:v>
      </x:c>
      <x:c r="G57" t="str"/>
    </x:row>
    <x:row r="58">
      <x:c r="A58" s="2" t="n">
        <x:v>45962</x:v>
      </x:c>
      <x:c r="B58" t="str">
        <x:v>Prime Meat Co</x:v>
      </x:c>
      <x:c r="C58" t="str">
        <x:v>Food</x:v>
      </x:c>
      <x:c r="D58" t="str">
        <x:v>Soho</x:v>
      </x:c>
      <x:c r="E58" s="4" t="n">
        <x:v>5842.15</x:v>
      </x:c>
      <x:c r="F58" s="4" t="n">
        <x:v>6000</x:v>
      </x:c>
      <x:c r="G58" t="str"/>
    </x:row>
    <x:row r="59">
      <x:c r="A59" s="2" t="n">
        <x:v>45962</x:v>
      </x:c>
      <x:c r="B59" t="str">
        <x:v>Prime Meat Co</x:v>
      </x:c>
      <x:c r="C59" t="str">
        <x:v>Food</x:v>
      </x:c>
      <x:c r="D59" t="str">
        <x:v>Vauxhall</x:v>
      </x:c>
      <x:c r="E59" s="4" t="n">
        <x:v>5295.32</x:v>
      </x:c>
      <x:c r="F59" s="4" t="n">
        <x:v>5200</x:v>
      </x:c>
      <x:c r="G59" t="str"/>
    </x:row>
    <x:row r="60">
      <x:c r="A60" s="2" t="n">
        <x:v>45962</x:v>
      </x:c>
      <x:c r="B60" t="str">
        <x:v>Prime Meat Co</x:v>
      </x:c>
      <x:c r="C60" t="str">
        <x:v>Food</x:v>
      </x:c>
      <x:c r="D60" t="str">
        <x:v>Borough</x:v>
      </x:c>
      <x:c r="E60" s="4" t="n">
        <x:v>1459.61</x:v>
      </x:c>
      <x:c r="F60" s="4" t="n">
        <x:v>1500</x:v>
      </x:c>
      <x:c r="G60" t="str"/>
    </x:row>
    <x:row r="61">
      <x:c r="A61" s="2" t="n">
        <x:v>45962</x:v>
      </x:c>
      <x:c r="B61" t="str">
        <x:v>Prime Meat Co</x:v>
      </x:c>
      <x:c r="C61" t="str">
        <x:v>Food</x:v>
      </x:c>
      <x:c r="D61" t="str">
        <x:v>Camden</x:v>
      </x:c>
      <x:c r="E61" s="4" t="n">
        <x:v>495.18</x:v>
      </x:c>
      <x:c r="F61" s="4" t="n">
        <x:v>500</x:v>
      </x:c>
      <x:c r="G61" t="str"/>
    </x:row>
    <x:row r="62">
      <x:c r="A62" s="2" t="n">
        <x:v>45962</x:v>
      </x:c>
      <x:c r="B62" t="str">
        <x:v>CleanPro Services</x:v>
      </x:c>
      <x:c r="C62" t="str">
        <x:v>Cleaning</x:v>
      </x:c>
      <x:c r="D62" t="str">
        <x:v>Soho</x:v>
      </x:c>
      <x:c r="E62" s="4" t="n">
        <x:v>1870.49</x:v>
      </x:c>
      <x:c r="F62" s="4" t="n">
        <x:v>1800</x:v>
      </x:c>
      <x:c r="G62" t="str"/>
    </x:row>
    <x:row r="63">
      <x:c r="A63" s="2" t="n">
        <x:v>45962</x:v>
      </x:c>
      <x:c r="B63" t="str">
        <x:v>CleanPro Services</x:v>
      </x:c>
      <x:c r="C63" t="str">
        <x:v>Cleaning</x:v>
      </x:c>
      <x:c r="D63" t="str">
        <x:v>Vauxhall</x:v>
      </x:c>
      <x:c r="E63" s="4" t="n">
        <x:v>1617.92</x:v>
      </x:c>
      <x:c r="F63" s="4" t="n">
        <x:v>1600</x:v>
      </x:c>
      <x:c r="G63" t="str"/>
    </x:row>
    <x:row r="64">
      <x:c r="A64" s="2" t="n">
        <x:v>45962</x:v>
      </x:c>
      <x:c r="B64" t="str">
        <x:v>CleanPro Services</x:v>
      </x:c>
      <x:c r="C64" t="str">
        <x:v>Cleaning</x:v>
      </x:c>
      <x:c r="D64" t="str">
        <x:v>Borough</x:v>
      </x:c>
      <x:c r="E64" s="4" t="n">
        <x:v>904.1</x:v>
      </x:c>
      <x:c r="F64" s="4" t="n">
        <x:v>900</x:v>
      </x:c>
      <x:c r="G64" t="str"/>
    </x:row>
    <x:row r="65">
      <x:c r="A65" s="2" t="n">
        <x:v>45962</x:v>
      </x:c>
      <x:c r="B65" t="str">
        <x:v>CleanPro Services</x:v>
      </x:c>
      <x:c r="C65" t="str">
        <x:v>Cleaning</x:v>
      </x:c>
      <x:c r="D65" t="str">
        <x:v>Camden</x:v>
      </x:c>
      <x:c r="E65" s="4" t="n">
        <x:v>1217.72</x:v>
      </x:c>
      <x:c r="F65" s="4" t="n">
        <x:v>1200</x:v>
      </x:c>
      <x:c r="G65" t="str"/>
    </x:row>
    <x:row r="66">
      <x:c r="A66" s="2" t="n">
        <x:v>45962</x:v>
      </x:c>
      <x:c r="B66" t="str">
        <x:v>London Linen</x:v>
      </x:c>
      <x:c r="C66" t="str">
        <x:v>Linen</x:v>
      </x:c>
      <x:c r="D66" t="str">
        <x:v>Soho</x:v>
      </x:c>
      <x:c r="E66" s="4" t="n">
        <x:v>1541.14</x:v>
      </x:c>
      <x:c r="F66" s="4" t="n">
        <x:v>1500</x:v>
      </x:c>
      <x:c r="G66" t="str"/>
    </x:row>
    <x:row r="67">
      <x:c r="A67" s="2" t="n">
        <x:v>45962</x:v>
      </x:c>
      <x:c r="B67" t="str">
        <x:v>London Linen</x:v>
      </x:c>
      <x:c r="C67" t="str">
        <x:v>Linen</x:v>
      </x:c>
      <x:c r="D67" t="str">
        <x:v>Vauxhall</x:v>
      </x:c>
      <x:c r="E67" s="4" t="n">
        <x:v>1430.91</x:v>
      </x:c>
      <x:c r="F67" s="4" t="n">
        <x:v>1400</x:v>
      </x:c>
      <x:c r="G67" t="str"/>
    </x:row>
    <x:row r="68">
      <x:c r="A68" s="2" t="n">
        <x:v>45962</x:v>
      </x:c>
      <x:c r="B68" t="str">
        <x:v>London Linen</x:v>
      </x:c>
      <x:c r="C68" t="str">
        <x:v>Linen</x:v>
      </x:c>
      <x:c r="D68" t="str">
        <x:v>Borough</x:v>
      </x:c>
      <x:c r="E68" s="4" t="n">
        <x:v>684.83</x:v>
      </x:c>
      <x:c r="F68" s="4" t="n">
        <x:v>700</x:v>
      </x:c>
      <x:c r="G68" t="str"/>
    </x:row>
    <x:row r="69">
      <x:c r="A69" s="2" t="n">
        <x:v>45962</x:v>
      </x:c>
      <x:c r="B69" t="str">
        <x:v>London Linen</x:v>
      </x:c>
      <x:c r="C69" t="str">
        <x:v>Linen</x:v>
      </x:c>
      <x:c r="D69" t="str">
        <x:v>Camden</x:v>
      </x:c>
      <x:c r="E69" s="4" t="n">
        <x:v>866.31</x:v>
      </x:c>
      <x:c r="F69" s="4" t="n">
        <x:v>900</x:v>
      </x:c>
      <x:c r="G69" t="str"/>
    </x:row>
    <x:row r="70">
      <x:c r="A70" s="2" t="n">
        <x:v>45962</x:v>
      </x:c>
      <x:c r="B70" t="str">
        <x:v>Rapid Repairs</x:v>
      </x:c>
      <x:c r="C70" t="str">
        <x:v>Maintenance</x:v>
      </x:c>
      <x:c r="D70" t="str">
        <x:v>Soho</x:v>
      </x:c>
      <x:c r="E70" s="4" t="n">
        <x:v>886.71</x:v>
      </x:c>
      <x:c r="F70" s="4" t="n">
        <x:v>900</x:v>
      </x:c>
      <x:c r="G70" t="str"/>
    </x:row>
    <x:row r="71">
      <x:c r="A71" s="2" t="n">
        <x:v>45962</x:v>
      </x:c>
      <x:c r="B71" t="str">
        <x:v>Rapid Repairs</x:v>
      </x:c>
      <x:c r="C71" t="str">
        <x:v>Maintenance</x:v>
      </x:c>
      <x:c r="D71" t="str">
        <x:v>Vauxhall</x:v>
      </x:c>
      <x:c r="E71" s="4" t="n">
        <x:v>834.21</x:v>
      </x:c>
      <x:c r="F71" s="4" t="n">
        <x:v>850</x:v>
      </x:c>
      <x:c r="G71" t="str"/>
    </x:row>
    <x:row r="72">
      <x:c r="A72" s="2" t="n">
        <x:v>45962</x:v>
      </x:c>
      <x:c r="B72" t="str">
        <x:v>Rapid Repairs</x:v>
      </x:c>
      <x:c r="C72" t="str">
        <x:v>Maintenance</x:v>
      </x:c>
      <x:c r="D72" t="str">
        <x:v>Borough</x:v>
      </x:c>
      <x:c r="E72" s="4" t="n">
        <x:v>488.44</x:v>
      </x:c>
      <x:c r="F72" s="4" t="n">
        <x:v>500</x:v>
      </x:c>
      <x:c r="G72" t="str"/>
    </x:row>
    <x:row r="73">
      <x:c r="A73" s="2" t="n">
        <x:v>45962</x:v>
      </x:c>
      <x:c r="B73" t="str">
        <x:v>Rapid Repairs</x:v>
      </x:c>
      <x:c r="C73" t="str">
        <x:v>Maintenance</x:v>
      </x:c>
      <x:c r="D73" t="str">
        <x:v>Camden</x:v>
      </x:c>
      <x:c r="E73" s="4" t="n">
        <x:v>673.03</x:v>
      </x:c>
      <x:c r="F73" s="4" t="n">
        <x:v>650</x:v>
      </x:c>
      <x:c r="G73" t="str"/>
    </x:row>
    <x:row r="74">
      <x:c r="A74" s="2" t="n">
        <x:v>45992</x:v>
      </x:c>
      <x:c r="B74" t="str">
        <x:v>Fresh Foods Ltd</x:v>
      </x:c>
      <x:c r="C74" t="str">
        <x:v>Food</x:v>
      </x:c>
      <x:c r="D74" t="str">
        <x:v>Soho</x:v>
      </x:c>
      <x:c r="E74" s="4" t="n">
        <x:v>9786.04</x:v>
      </x:c>
      <x:c r="F74" s="4" t="n">
        <x:v>9500</x:v>
      </x:c>
      <x:c r="G74" t="str"/>
    </x:row>
    <x:row r="75">
      <x:c r="A75" s="2" t="n">
        <x:v>45992</x:v>
      </x:c>
      <x:c r="B75" t="str">
        <x:v>Fresh Foods Ltd</x:v>
      </x:c>
      <x:c r="C75" t="str">
        <x:v>Food</x:v>
      </x:c>
      <x:c r="D75" t="str">
        <x:v>Vauxhall</x:v>
      </x:c>
      <x:c r="E75" s="4" t="n">
        <x:v>8078.43</x:v>
      </x:c>
      <x:c r="F75" s="4" t="n">
        <x:v>8200</x:v>
      </x:c>
      <x:c r="G75" t="str"/>
    </x:row>
    <x:row r="76">
      <x:c r="A76" s="2" t="n">
        <x:v>45992</x:v>
      </x:c>
      <x:c r="B76" t="str">
        <x:v>Fresh Foods Ltd</x:v>
      </x:c>
      <x:c r="C76" t="str">
        <x:v>Food</x:v>
      </x:c>
      <x:c r="D76" t="str">
        <x:v>Borough</x:v>
      </x:c>
      <x:c r="E76" s="4" t="n">
        <x:v>4252.23</x:v>
      </x:c>
      <x:c r="F76" s="4" t="n">
        <x:v>4200</x:v>
      </x:c>
      <x:c r="G76" t="str"/>
    </x:row>
    <x:row r="77">
      <x:c r="A77" s="2" t="n">
        <x:v>45992</x:v>
      </x:c>
      <x:c r="B77" t="str">
        <x:v>Fresh Foods Ltd</x:v>
      </x:c>
      <x:c r="C77" t="str">
        <x:v>Food</x:v>
      </x:c>
      <x:c r="D77" t="str">
        <x:v>Camden</x:v>
      </x:c>
      <x:c r="E77" s="4" t="n">
        <x:v>1784.97</x:v>
      </x:c>
      <x:c r="F77" s="4" t="n">
        <x:v>1800</x:v>
      </x:c>
      <x:c r="G77" t="str"/>
    </x:row>
    <x:row r="78">
      <x:c r="A78" s="2" t="n">
        <x:v>45992</x:v>
      </x:c>
      <x:c r="B78" t="str">
        <x:v>City Beverages</x:v>
      </x:c>
      <x:c r="C78" t="str">
        <x:v>Beverage</x:v>
      </x:c>
      <x:c r="D78" t="str">
        <x:v>Soho</x:v>
      </x:c>
      <x:c r="E78" s="4" t="n">
        <x:v>7232.15</x:v>
      </x:c>
      <x:c r="F78" s="4" t="n">
        <x:v>7000</x:v>
      </x:c>
      <x:c r="G78" t="str"/>
    </x:row>
    <x:row r="79">
      <x:c r="A79" s="2" t="n">
        <x:v>45992</x:v>
      </x:c>
      <x:c r="B79" t="str">
        <x:v>City Beverages</x:v>
      </x:c>
      <x:c r="C79" t="str">
        <x:v>Beverage</x:v>
      </x:c>
      <x:c r="D79" t="str">
        <x:v>Vauxhall</x:v>
      </x:c>
      <x:c r="E79" s="4" t="n">
        <x:v>6179.59</x:v>
      </x:c>
      <x:c r="F79" s="4" t="n">
        <x:v>6200</x:v>
      </x:c>
      <x:c r="G79" t="str"/>
    </x:row>
    <x:row r="80">
      <x:c r="A80" s="2" t="n">
        <x:v>45992</x:v>
      </x:c>
      <x:c r="B80" t="str">
        <x:v>City Beverages</x:v>
      </x:c>
      <x:c r="C80" t="str">
        <x:v>Beverage</x:v>
      </x:c>
      <x:c r="D80" t="str">
        <x:v>Borough</x:v>
      </x:c>
      <x:c r="E80" s="4" t="n">
        <x:v>2551.1</x:v>
      </x:c>
      <x:c r="F80" s="4" t="n">
        <x:v>2600</x:v>
      </x:c>
      <x:c r="G80" t="str"/>
    </x:row>
    <x:row r="81">
      <x:c r="A81" s="2" t="n">
        <x:v>45992</x:v>
      </x:c>
      <x:c r="B81" t="str">
        <x:v>City Beverages</x:v>
      </x:c>
      <x:c r="C81" t="str">
        <x:v>Beverage</x:v>
      </x:c>
      <x:c r="D81" t="str">
        <x:v>Camden</x:v>
      </x:c>
      <x:c r="E81" s="4" t="n">
        <x:v>8817.57</x:v>
      </x:c>
      <x:c r="F81" s="4" t="n">
        <x:v>9000</x:v>
      </x:c>
      <x:c r="G81" t="str"/>
    </x:row>
    <x:row r="82">
      <x:c r="A82" s="2" t="n">
        <x:v>45992</x:v>
      </x:c>
      <x:c r="B82" t="str">
        <x:v>Prime Meat Co</x:v>
      </x:c>
      <x:c r="C82" t="str">
        <x:v>Food</x:v>
      </x:c>
      <x:c r="D82" t="str">
        <x:v>Soho</x:v>
      </x:c>
      <x:c r="E82" s="4" t="n">
        <x:v>6029.46</x:v>
      </x:c>
      <x:c r="F82" s="4" t="n">
        <x:v>6000</x:v>
      </x:c>
      <x:c r="G82" t="str"/>
    </x:row>
    <x:row r="83">
      <x:c r="A83" s="2" t="n">
        <x:v>45992</x:v>
      </x:c>
      <x:c r="B83" t="str">
        <x:v>Prime Meat Co</x:v>
      </x:c>
      <x:c r="C83" t="str">
        <x:v>Food</x:v>
      </x:c>
      <x:c r="D83" t="str">
        <x:v>Vauxhall</x:v>
      </x:c>
      <x:c r="E83" s="4" t="n">
        <x:v>5101.3</x:v>
      </x:c>
      <x:c r="F83" s="4" t="n">
        <x:v>5200</x:v>
      </x:c>
      <x:c r="G83" t="str"/>
    </x:row>
    <x:row r="84">
      <x:c r="A84" s="2" t="n">
        <x:v>45992</x:v>
      </x:c>
      <x:c r="B84" t="str">
        <x:v>Prime Meat Co</x:v>
      </x:c>
      <x:c r="C84" t="str">
        <x:v>Food</x:v>
      </x:c>
      <x:c r="D84" t="str">
        <x:v>Borough</x:v>
      </x:c>
      <x:c r="E84" s="4" t="n">
        <x:v>1510.15</x:v>
      </x:c>
      <x:c r="F84" s="4" t="n">
        <x:v>1500</x:v>
      </x:c>
      <x:c r="G84" t="str"/>
    </x:row>
    <x:row r="85">
      <x:c r="A85" s="2" t="n">
        <x:v>45992</x:v>
      </x:c>
      <x:c r="B85" t="str">
        <x:v>Prime Meat Co</x:v>
      </x:c>
      <x:c r="C85" t="str">
        <x:v>Food</x:v>
      </x:c>
      <x:c r="D85" t="str">
        <x:v>Camden</x:v>
      </x:c>
      <x:c r="E85" s="4" t="n">
        <x:v>515.91</x:v>
      </x:c>
      <x:c r="F85" s="4" t="n">
        <x:v>500</x:v>
      </x:c>
      <x:c r="G85" t="str"/>
    </x:row>
    <x:row r="86">
      <x:c r="A86" s="2" t="n">
        <x:v>45992</x:v>
      </x:c>
      <x:c r="B86" t="str">
        <x:v>CleanPro Services</x:v>
      </x:c>
      <x:c r="C86" t="str">
        <x:v>Cleaning</x:v>
      </x:c>
      <x:c r="D86" t="str">
        <x:v>Soho</x:v>
      </x:c>
      <x:c r="E86" s="4" t="n">
        <x:v>1785.51</x:v>
      </x:c>
      <x:c r="F86" s="4" t="n">
        <x:v>1800</x:v>
      </x:c>
      <x:c r="G86" t="str"/>
    </x:row>
    <x:row r="87">
      <x:c r="A87" s="2" t="n">
        <x:v>45992</x:v>
      </x:c>
      <x:c r="B87" t="str">
        <x:v>CleanPro Services</x:v>
      </x:c>
      <x:c r="C87" t="str">
        <x:v>Cleaning</x:v>
      </x:c>
      <x:c r="D87" t="str">
        <x:v>Vauxhall</x:v>
      </x:c>
      <x:c r="E87" s="4" t="n">
        <x:v>1564.07</x:v>
      </x:c>
      <x:c r="F87" s="4" t="n">
        <x:v>1600</x:v>
      </x:c>
      <x:c r="G87" t="str"/>
    </x:row>
    <x:row r="88">
      <x:c r="A88" s="2" t="n">
        <x:v>45992</x:v>
      </x:c>
      <x:c r="B88" t="str">
        <x:v>CleanPro Services</x:v>
      </x:c>
      <x:c r="C88" t="str">
        <x:v>Cleaning</x:v>
      </x:c>
      <x:c r="D88" t="str">
        <x:v>Borough</x:v>
      </x:c>
      <x:c r="E88" s="4" t="n">
        <x:v>935.82</x:v>
      </x:c>
      <x:c r="F88" s="4" t="n">
        <x:v>900</x:v>
      </x:c>
      <x:c r="G88" t="str"/>
    </x:row>
    <x:row r="89">
      <x:c r="A89" s="2" t="n">
        <x:v>45992</x:v>
      </x:c>
      <x:c r="B89" t="str">
        <x:v>CleanPro Services</x:v>
      </x:c>
      <x:c r="C89" t="str">
        <x:v>Cleaning</x:v>
      </x:c>
      <x:c r="D89" t="str">
        <x:v>Camden</x:v>
      </x:c>
      <x:c r="E89" s="4" t="n">
        <x:v>1200.91</x:v>
      </x:c>
      <x:c r="F89" s="4" t="n">
        <x:v>1200</x:v>
      </x:c>
      <x:c r="G89" t="str"/>
    </x:row>
    <x:row r="90">
      <x:c r="A90" s="2" t="n">
        <x:v>45992</x:v>
      </x:c>
      <x:c r="B90" t="str">
        <x:v>London Linen</x:v>
      </x:c>
      <x:c r="C90" t="str">
        <x:v>Linen</x:v>
      </x:c>
      <x:c r="D90" t="str">
        <x:v>Soho</x:v>
      </x:c>
      <x:c r="E90" s="4" t="n">
        <x:v>1450.91</x:v>
      </x:c>
      <x:c r="F90" s="4" t="n">
        <x:v>1500</x:v>
      </x:c>
      <x:c r="G90" t="str"/>
    </x:row>
    <x:row r="91">
      <x:c r="A91" s="2" t="n">
        <x:v>45992</x:v>
      </x:c>
      <x:c r="B91" t="str">
        <x:v>London Linen</x:v>
      </x:c>
      <x:c r="C91" t="str">
        <x:v>Linen</x:v>
      </x:c>
      <x:c r="D91" t="str">
        <x:v>Vauxhall</x:v>
      </x:c>
      <x:c r="E91" s="4" t="n">
        <x:v>1349.28</x:v>
      </x:c>
      <x:c r="F91" s="4" t="n">
        <x:v>1400</x:v>
      </x:c>
      <x:c r="G91" t="str"/>
    </x:row>
    <x:row r="92">
      <x:c r="A92" s="2" t="n">
        <x:v>45992</x:v>
      </x:c>
      <x:c r="B92" t="str">
        <x:v>London Linen</x:v>
      </x:c>
      <x:c r="C92" t="str">
        <x:v>Linen</x:v>
      </x:c>
      <x:c r="D92" t="str">
        <x:v>Borough</x:v>
      </x:c>
      <x:c r="E92" s="4" t="n">
        <x:v>678.14</x:v>
      </x:c>
      <x:c r="F92" s="4" t="n">
        <x:v>700</x:v>
      </x:c>
      <x:c r="G92" t="str"/>
    </x:row>
    <x:row r="93">
      <x:c r="A93" s="2" t="n">
        <x:v>45992</x:v>
      </x:c>
      <x:c r="B93" t="str">
        <x:v>London Linen</x:v>
      </x:c>
      <x:c r="C93" t="str">
        <x:v>Linen</x:v>
      </x:c>
      <x:c r="D93" t="str">
        <x:v>Camden</x:v>
      </x:c>
      <x:c r="E93" s="4" t="n">
        <x:v>909.18</x:v>
      </x:c>
      <x:c r="F93" s="4" t="n">
        <x:v>900</x:v>
      </x:c>
      <x:c r="G93" t="str"/>
    </x:row>
    <x:row r="94">
      <x:c r="A94" s="2" t="n">
        <x:v>45992</x:v>
      </x:c>
      <x:c r="B94" t="str">
        <x:v>Rapid Repairs</x:v>
      </x:c>
      <x:c r="C94" t="str">
        <x:v>Maintenance</x:v>
      </x:c>
      <x:c r="D94" t="str">
        <x:v>Soho</x:v>
      </x:c>
      <x:c r="E94" s="4" t="n">
        <x:v>921.03</x:v>
      </x:c>
      <x:c r="F94" s="4" t="n">
        <x:v>900</x:v>
      </x:c>
      <x:c r="G94" t="str"/>
    </x:row>
    <x:row r="95">
      <x:c r="A95" s="2" t="n">
        <x:v>45992</x:v>
      </x:c>
      <x:c r="B95" t="str">
        <x:v>Rapid Repairs</x:v>
      </x:c>
      <x:c r="C95" t="str">
        <x:v>Maintenance</x:v>
      </x:c>
      <x:c r="D95" t="str">
        <x:v>Vauxhall</x:v>
      </x:c>
      <x:c r="E95" s="4" t="n">
        <x:v>844.71</x:v>
      </x:c>
      <x:c r="F95" s="4" t="n">
        <x:v>850</x:v>
      </x:c>
      <x:c r="G95" t="str"/>
    </x:row>
    <x:row r="96">
      <x:c r="A96" s="2" t="n">
        <x:v>45992</x:v>
      </x:c>
      <x:c r="B96" t="str">
        <x:v>Rapid Repairs</x:v>
      </x:c>
      <x:c r="C96" t="str">
        <x:v>Maintenance</x:v>
      </x:c>
      <x:c r="D96" t="str">
        <x:v>Borough</x:v>
      </x:c>
      <x:c r="E96" s="4" t="n">
        <x:v>482.54</x:v>
      </x:c>
      <x:c r="F96" s="4" t="n">
        <x:v>500</x:v>
      </x:c>
      <x:c r="G96" t="str"/>
    </x:row>
    <x:row r="97">
      <x:c r="A97" s="2" t="n">
        <x:v>45992</x:v>
      </x:c>
      <x:c r="B97" t="str">
        <x:v>Rapid Repairs</x:v>
      </x:c>
      <x:c r="C97" t="str">
        <x:v>Maintenance</x:v>
      </x:c>
      <x:c r="D97" t="str">
        <x:v>Camden</x:v>
      </x:c>
      <x:c r="E97" s="4" t="n">
        <x:v>643.84</x:v>
      </x:c>
      <x:c r="F97" s="4" t="n">
        <x:v>650</x:v>
      </x:c>
      <x:c r="G97" t="str"/>
    </x:row>
    <x:row r="98">
      <x:c r="A98" s="2" t="n">
        <x:v>46023</x:v>
      </x:c>
      <x:c r="B98" t="str">
        <x:v>Fresh Foods Ltd</x:v>
      </x:c>
      <x:c r="C98" t="str">
        <x:v>Food</x:v>
      </x:c>
      <x:c r="D98" t="str">
        <x:v>Soho</x:v>
      </x:c>
      <x:c r="E98" s="4" t="n">
        <x:v>9877.05</x:v>
      </x:c>
      <x:c r="F98" s="4" t="n">
        <x:v>9500</x:v>
      </x:c>
      <x:c r="G98" t="str"/>
    </x:row>
    <x:row r="99">
      <x:c r="A99" s="2" t="n">
        <x:v>46023</x:v>
      </x:c>
      <x:c r="B99" t="str">
        <x:v>Fresh Foods Ltd</x:v>
      </x:c>
      <x:c r="C99" t="str">
        <x:v>Food</x:v>
      </x:c>
      <x:c r="D99" t="str">
        <x:v>Vauxhall</x:v>
      </x:c>
      <x:c r="E99" s="4" t="n">
        <x:v>8219.1</x:v>
      </x:c>
      <x:c r="F99" s="4" t="n">
        <x:v>8200</x:v>
      </x:c>
      <x:c r="G99" t="str"/>
    </x:row>
    <x:row r="100">
      <x:c r="A100" s="2" t="n">
        <x:v>46023</x:v>
      </x:c>
      <x:c r="B100" t="str">
        <x:v>Fresh Foods Ltd</x:v>
      </x:c>
      <x:c r="C100" t="str">
        <x:v>Food</x:v>
      </x:c>
      <x:c r="D100" t="str">
        <x:v>Borough</x:v>
      </x:c>
      <x:c r="E100" s="4" t="n">
        <x:v>4358.28</x:v>
      </x:c>
      <x:c r="F100" s="4" t="n">
        <x:v>4200</x:v>
      </x:c>
      <x:c r="G100" t="str"/>
    </x:row>
    <x:row r="101">
      <x:c r="A101" s="2" t="n">
        <x:v>46023</x:v>
      </x:c>
      <x:c r="B101" t="str">
        <x:v>Fresh Foods Ltd</x:v>
      </x:c>
      <x:c r="C101" t="str">
        <x:v>Food</x:v>
      </x:c>
      <x:c r="D101" t="str">
        <x:v>Camden</x:v>
      </x:c>
      <x:c r="E101" s="4" t="n">
        <x:v>1851.95</x:v>
      </x:c>
      <x:c r="F101" s="4" t="n">
        <x:v>1800</x:v>
      </x:c>
      <x:c r="G101" t="str"/>
    </x:row>
    <x:row r="102">
      <x:c r="A102" s="2" t="n">
        <x:v>46023</x:v>
      </x:c>
      <x:c r="B102" t="str">
        <x:v>City Beverages</x:v>
      </x:c>
      <x:c r="C102" t="str">
        <x:v>Beverage</x:v>
      </x:c>
      <x:c r="D102" t="str">
        <x:v>Soho</x:v>
      </x:c>
      <x:c r="E102" s="4" t="n">
        <x:v>6726.43</x:v>
      </x:c>
      <x:c r="F102" s="4" t="n">
        <x:v>7000</x:v>
      </x:c>
      <x:c r="G102" t="str"/>
    </x:row>
    <x:row r="103">
      <x:c r="A103" s="2" t="n">
        <x:v>46023</x:v>
      </x:c>
      <x:c r="B103" t="str">
        <x:v>City Beverages</x:v>
      </x:c>
      <x:c r="C103" t="str">
        <x:v>Beverage</x:v>
      </x:c>
      <x:c r="D103" t="str">
        <x:v>Vauxhall</x:v>
      </x:c>
      <x:c r="E103" s="4" t="n">
        <x:v>6309.48</x:v>
      </x:c>
      <x:c r="F103" s="4" t="n">
        <x:v>6200</x:v>
      </x:c>
      <x:c r="G103" t="str"/>
    </x:row>
    <x:row r="104">
      <x:c r="A104" s="2" t="n">
        <x:v>46023</x:v>
      </x:c>
      <x:c r="B104" t="str">
        <x:v>City Beverages</x:v>
      </x:c>
      <x:c r="C104" t="str">
        <x:v>Beverage</x:v>
      </x:c>
      <x:c r="D104" t="str">
        <x:v>Borough</x:v>
      </x:c>
      <x:c r="E104" s="4" t="n">
        <x:v>2637.8</x:v>
      </x:c>
      <x:c r="F104" s="4" t="n">
        <x:v>2600</x:v>
      </x:c>
      <x:c r="G104" t="str"/>
    </x:row>
    <x:row r="105">
      <x:c r="A105" s="2" t="n">
        <x:v>46023</x:v>
      </x:c>
      <x:c r="B105" t="str">
        <x:v>City Beverages</x:v>
      </x:c>
      <x:c r="C105" t="str">
        <x:v>Beverage</x:v>
      </x:c>
      <x:c r="D105" t="str">
        <x:v>Camden</x:v>
      </x:c>
      <x:c r="E105" s="4" t="n">
        <x:v>9026.62</x:v>
      </x:c>
      <x:c r="F105" s="4" t="n">
        <x:v>9000</x:v>
      </x:c>
      <x:c r="G105" t="str"/>
    </x:row>
    <x:row r="106">
      <x:c r="A106" s="2" t="n">
        <x:v>46023</x:v>
      </x:c>
      <x:c r="B106" t="str">
        <x:v>Prime Meat Co</x:v>
      </x:c>
      <x:c r="C106" t="str">
        <x:v>Food</x:v>
      </x:c>
      <x:c r="D106" t="str">
        <x:v>Soho</x:v>
      </x:c>
      <x:c r="E106" s="4" t="n">
        <x:v>5888.08</x:v>
      </x:c>
      <x:c r="F106" s="4" t="n">
        <x:v>6000</x:v>
      </x:c>
      <x:c r="G106" t="str"/>
    </x:row>
    <x:row r="107">
      <x:c r="A107" s="2" t="n">
        <x:v>46023</x:v>
      </x:c>
      <x:c r="B107" t="str">
        <x:v>Prime Meat Co</x:v>
      </x:c>
      <x:c r="C107" t="str">
        <x:v>Food</x:v>
      </x:c>
      <x:c r="D107" t="str">
        <x:v>Vauxhall</x:v>
      </x:c>
      <x:c r="E107" s="4" t="n">
        <x:v>5258.64</x:v>
      </x:c>
      <x:c r="F107" s="4" t="n">
        <x:v>5200</x:v>
      </x:c>
      <x:c r="G107" t="str"/>
    </x:row>
    <x:row r="108">
      <x:c r="A108" s="2" t="n">
        <x:v>46023</x:v>
      </x:c>
      <x:c r="B108" t="str">
        <x:v>Prime Meat Co</x:v>
      </x:c>
      <x:c r="C108" t="str">
        <x:v>Food</x:v>
      </x:c>
      <x:c r="D108" t="str">
        <x:v>Borough</x:v>
      </x:c>
      <x:c r="E108" s="4" t="n">
        <x:v>1453.39</x:v>
      </x:c>
      <x:c r="F108" s="4" t="n">
        <x:v>1500</x:v>
      </x:c>
      <x:c r="G108" t="str"/>
    </x:row>
    <x:row r="109">
      <x:c r="A109" s="2" t="n">
        <x:v>46023</x:v>
      </x:c>
      <x:c r="B109" t="str">
        <x:v>Prime Meat Co</x:v>
      </x:c>
      <x:c r="C109" t="str">
        <x:v>Food</x:v>
      </x:c>
      <x:c r="D109" t="str">
        <x:v>Camden</x:v>
      </x:c>
      <x:c r="E109" s="4" t="n">
        <x:v>497.39</x:v>
      </x:c>
      <x:c r="F109" s="4" t="n">
        <x:v>500</x:v>
      </x:c>
      <x:c r="G109" t="str"/>
    </x:row>
    <x:row r="110">
      <x:c r="A110" s="2" t="n">
        <x:v>46023</x:v>
      </x:c>
      <x:c r="B110" t="str">
        <x:v>CleanPro Services</x:v>
      </x:c>
      <x:c r="C110" t="str">
        <x:v>Cleaning</x:v>
      </x:c>
      <x:c r="D110" t="str">
        <x:v>Soho</x:v>
      </x:c>
      <x:c r="E110" s="4" t="n">
        <x:v>1793.34</x:v>
      </x:c>
      <x:c r="F110" s="4" t="n">
        <x:v>1800</x:v>
      </x:c>
      <x:c r="G110" t="str"/>
    </x:row>
    <x:row r="111">
      <x:c r="A111" s="2" t="n">
        <x:v>46023</x:v>
      </x:c>
      <x:c r="B111" t="str">
        <x:v>CleanPro Services</x:v>
      </x:c>
      <x:c r="C111" t="str">
        <x:v>Cleaning</x:v>
      </x:c>
      <x:c r="D111" t="str">
        <x:v>Vauxhall</x:v>
      </x:c>
      <x:c r="E111" s="4" t="n">
        <x:v>1658.09</x:v>
      </x:c>
      <x:c r="F111" s="4" t="n">
        <x:v>1600</x:v>
      </x:c>
      <x:c r="G111" t="str"/>
    </x:row>
    <x:row r="112">
      <x:c r="A112" s="2" t="n">
        <x:v>46023</x:v>
      </x:c>
      <x:c r="B112" t="str">
        <x:v>CleanPro Services</x:v>
      </x:c>
      <x:c r="C112" t="str">
        <x:v>Cleaning</x:v>
      </x:c>
      <x:c r="D112" t="str">
        <x:v>Borough</x:v>
      </x:c>
      <x:c r="E112" s="4" t="n">
        <x:v>927.06</x:v>
      </x:c>
      <x:c r="F112" s="4" t="n">
        <x:v>900</x:v>
      </x:c>
      <x:c r="G112" t="str"/>
    </x:row>
    <x:row r="113">
      <x:c r="A113" s="2" t="n">
        <x:v>46023</x:v>
      </x:c>
      <x:c r="B113" t="str">
        <x:v>CleanPro Services</x:v>
      </x:c>
      <x:c r="C113" t="str">
        <x:v>Cleaning</x:v>
      </x:c>
      <x:c r="D113" t="str">
        <x:v>Camden</x:v>
      </x:c>
      <x:c r="E113" s="4" t="n">
        <x:v>1177.29</x:v>
      </x:c>
      <x:c r="F113" s="4" t="n">
        <x:v>1200</x:v>
      </x:c>
      <x:c r="G113" t="str"/>
    </x:row>
    <x:row r="114">
      <x:c r="A114" s="2" t="n">
        <x:v>46023</x:v>
      </x:c>
      <x:c r="B114" t="str">
        <x:v>London Linen</x:v>
      </x:c>
      <x:c r="C114" t="str">
        <x:v>Linen</x:v>
      </x:c>
      <x:c r="D114" t="str">
        <x:v>Soho</x:v>
      </x:c>
      <x:c r="E114" s="4" t="n">
        <x:v>1500.07</x:v>
      </x:c>
      <x:c r="F114" s="4" t="n">
        <x:v>1500</x:v>
      </x:c>
      <x:c r="G114" t="str"/>
    </x:row>
    <x:row r="115">
      <x:c r="A115" s="2" t="n">
        <x:v>46023</x:v>
      </x:c>
      <x:c r="B115" t="str">
        <x:v>London Linen</x:v>
      </x:c>
      <x:c r="C115" t="str">
        <x:v>Linen</x:v>
      </x:c>
      <x:c r="D115" t="str">
        <x:v>Vauxhall</x:v>
      </x:c>
      <x:c r="E115" s="4" t="n">
        <x:v>1364.01</x:v>
      </x:c>
      <x:c r="F115" s="4" t="n">
        <x:v>1400</x:v>
      </x:c>
      <x:c r="G115" t="str"/>
    </x:row>
    <x:row r="116">
      <x:c r="A116" s="2" t="n">
        <x:v>46023</x:v>
      </x:c>
      <x:c r="B116" t="str">
        <x:v>London Linen</x:v>
      </x:c>
      <x:c r="C116" t="str">
        <x:v>Linen</x:v>
      </x:c>
      <x:c r="D116" t="str">
        <x:v>Borough</x:v>
      </x:c>
      <x:c r="E116" s="4" t="n">
        <x:v>723.11</x:v>
      </x:c>
      <x:c r="F116" s="4" t="n">
        <x:v>700</x:v>
      </x:c>
      <x:c r="G116" t="str"/>
    </x:row>
    <x:row r="117">
      <x:c r="A117" s="2" t="n">
        <x:v>46023</x:v>
      </x:c>
      <x:c r="B117" t="str">
        <x:v>London Linen</x:v>
      </x:c>
      <x:c r="C117" t="str">
        <x:v>Linen</x:v>
      </x:c>
      <x:c r="D117" t="str">
        <x:v>Camden</x:v>
      </x:c>
      <x:c r="E117" s="4" t="n">
        <x:v>926.68</x:v>
      </x:c>
      <x:c r="F117" s="4" t="n">
        <x:v>900</x:v>
      </x:c>
      <x:c r="G117" t="str"/>
    </x:row>
    <x:row r="118">
      <x:c r="A118" s="2" t="n">
        <x:v>46023</x:v>
      </x:c>
      <x:c r="B118" t="str">
        <x:v>Rapid Repairs</x:v>
      </x:c>
      <x:c r="C118" t="str">
        <x:v>Maintenance</x:v>
      </x:c>
      <x:c r="D118" t="str">
        <x:v>Soho</x:v>
      </x:c>
      <x:c r="E118" s="4" t="n">
        <x:v>885.49</x:v>
      </x:c>
      <x:c r="F118" s="4" t="n">
        <x:v>900</x:v>
      </x:c>
      <x:c r="G118" t="str"/>
    </x:row>
    <x:row r="119">
      <x:c r="A119" s="2" t="n">
        <x:v>46023</x:v>
      </x:c>
      <x:c r="B119" t="str">
        <x:v>Rapid Repairs</x:v>
      </x:c>
      <x:c r="C119" t="str">
        <x:v>Maintenance</x:v>
      </x:c>
      <x:c r="D119" t="str">
        <x:v>Vauxhall</x:v>
      </x:c>
      <x:c r="E119" s="4" t="n">
        <x:v>859.45</x:v>
      </x:c>
      <x:c r="F119" s="4" t="n">
        <x:v>850</x:v>
      </x:c>
      <x:c r="G119" t="str"/>
    </x:row>
    <x:row r="120">
      <x:c r="A120" s="2" t="n">
        <x:v>46023</x:v>
      </x:c>
      <x:c r="B120" t="str">
        <x:v>Rapid Repairs</x:v>
      </x:c>
      <x:c r="C120" t="str">
        <x:v>Maintenance</x:v>
      </x:c>
      <x:c r="D120" t="str">
        <x:v>Borough</x:v>
      </x:c>
      <x:c r="E120" s="4" t="n">
        <x:v>504.36</x:v>
      </x:c>
      <x:c r="F120" s="4" t="n">
        <x:v>500</x:v>
      </x:c>
      <x:c r="G120" t="str"/>
    </x:row>
    <x:row r="121">
      <x:c r="A121" s="2" t="n">
        <x:v>46023</x:v>
      </x:c>
      <x:c r="B121" t="str">
        <x:v>Rapid Repairs</x:v>
      </x:c>
      <x:c r="C121" t="str">
        <x:v>Maintenance</x:v>
      </x:c>
      <x:c r="D121" t="str">
        <x:v>Camden</x:v>
      </x:c>
      <x:c r="E121" s="4" t="n">
        <x:v>631.95</x:v>
      </x:c>
      <x:c r="F121" s="4" t="n">
        <x:v>650</x:v>
      </x:c>
      <x:c r="G121" t="str"/>
    </x:row>
    <x:row r="122">
      <x:c r="A122" s="2" t="n">
        <x:v>46054</x:v>
      </x:c>
      <x:c r="B122" t="str">
        <x:v>Fresh Foods Ltd</x:v>
      </x:c>
      <x:c r="C122" t="str">
        <x:v>Food</x:v>
      </x:c>
      <x:c r="D122" t="str">
        <x:v>Soho</x:v>
      </x:c>
      <x:c r="E122" s="4" t="n">
        <x:v>9699.51</x:v>
      </x:c>
      <x:c r="F122" s="4" t="n">
        <x:v>9500</x:v>
      </x:c>
      <x:c r="G122" t="str"/>
    </x:row>
    <x:row r="123">
      <x:c r="A123" s="2" t="n">
        <x:v>46054</x:v>
      </x:c>
      <x:c r="B123" t="str">
        <x:v>Fresh Foods Ltd</x:v>
      </x:c>
      <x:c r="C123" t="str">
        <x:v>Food</x:v>
      </x:c>
      <x:c r="D123" t="str">
        <x:v>Vauxhall</x:v>
      </x:c>
      <x:c r="E123" s="4" t="n">
        <x:v>8225.83</x:v>
      </x:c>
      <x:c r="F123" s="4" t="n">
        <x:v>8200</x:v>
      </x:c>
      <x:c r="G123" t="str"/>
    </x:row>
    <x:row r="124">
      <x:c r="A124" s="2" t="n">
        <x:v>46054</x:v>
      </x:c>
      <x:c r="B124" t="str">
        <x:v>Fresh Foods Ltd</x:v>
      </x:c>
      <x:c r="C124" t="str">
        <x:v>Food</x:v>
      </x:c>
      <x:c r="D124" t="str">
        <x:v>Borough</x:v>
      </x:c>
      <x:c r="E124" s="4" t="n">
        <x:v>4293.62</x:v>
      </x:c>
      <x:c r="F124" s="4" t="n">
        <x:v>4200</x:v>
      </x:c>
      <x:c r="G124" t="str"/>
    </x:row>
    <x:row r="125">
      <x:c r="A125" s="2" t="n">
        <x:v>46054</x:v>
      </x:c>
      <x:c r="B125" t="str">
        <x:v>Fresh Foods Ltd</x:v>
      </x:c>
      <x:c r="C125" t="str">
        <x:v>Food</x:v>
      </x:c>
      <x:c r="D125" t="str">
        <x:v>Camden</x:v>
      </x:c>
      <x:c r="E125" s="4" t="n">
        <x:v>1804.37</x:v>
      </x:c>
      <x:c r="F125" s="4" t="n">
        <x:v>1800</x:v>
      </x:c>
      <x:c r="G125" t="str"/>
    </x:row>
    <x:row r="126">
      <x:c r="A126" s="2" t="n">
        <x:v>46054</x:v>
      </x:c>
      <x:c r="B126" t="str">
        <x:v>City Beverages</x:v>
      </x:c>
      <x:c r="C126" t="str">
        <x:v>Beverage</x:v>
      </x:c>
      <x:c r="D126" t="str">
        <x:v>Soho</x:v>
      </x:c>
      <x:c r="E126" s="4" t="n">
        <x:v>6720.32</x:v>
      </x:c>
      <x:c r="F126" s="4" t="n">
        <x:v>7000</x:v>
      </x:c>
      <x:c r="G126" t="str"/>
    </x:row>
    <x:row r="127">
      <x:c r="A127" s="2" t="n">
        <x:v>46054</x:v>
      </x:c>
      <x:c r="B127" t="str">
        <x:v>City Beverages</x:v>
      </x:c>
      <x:c r="C127" t="str">
        <x:v>Beverage</x:v>
      </x:c>
      <x:c r="D127" t="str">
        <x:v>Vauxhall</x:v>
      </x:c>
      <x:c r="E127" s="4" t="n">
        <x:v>6112.78</x:v>
      </x:c>
      <x:c r="F127" s="4" t="n">
        <x:v>6200</x:v>
      </x:c>
      <x:c r="G127" t="str"/>
    </x:row>
    <x:row r="128">
      <x:c r="A128" s="2" t="n">
        <x:v>46054</x:v>
      </x:c>
      <x:c r="B128" t="str">
        <x:v>City Beverages</x:v>
      </x:c>
      <x:c r="C128" t="str">
        <x:v>Beverage</x:v>
      </x:c>
      <x:c r="D128" t="str">
        <x:v>Borough</x:v>
      </x:c>
      <x:c r="E128" s="4" t="n">
        <x:v>2500.05</x:v>
      </x:c>
      <x:c r="F128" s="4" t="n">
        <x:v>2600</x:v>
      </x:c>
      <x:c r="G128" t="str"/>
    </x:row>
    <x:row r="129">
      <x:c r="A129" s="2" t="n">
        <x:v>46054</x:v>
      </x:c>
      <x:c r="B129" t="str">
        <x:v>City Beverages</x:v>
      </x:c>
      <x:c r="C129" t="str">
        <x:v>Beverage</x:v>
      </x:c>
      <x:c r="D129" t="str">
        <x:v>Camden</x:v>
      </x:c>
      <x:c r="E129" s="4" t="n">
        <x:v>9308.95</x:v>
      </x:c>
      <x:c r="F129" s="4" t="n">
        <x:v>9000</x:v>
      </x:c>
      <x:c r="G129" t="str"/>
    </x:row>
    <x:row r="130">
      <x:c r="A130" s="2" t="n">
        <x:v>46054</x:v>
      </x:c>
      <x:c r="B130" t="str">
        <x:v>Prime Meat Co</x:v>
      </x:c>
      <x:c r="C130" t="str">
        <x:v>Food</x:v>
      </x:c>
      <x:c r="D130" t="str">
        <x:v>Soho</x:v>
      </x:c>
      <x:c r="E130" s="4" t="n">
        <x:v>6181.79</x:v>
      </x:c>
      <x:c r="F130" s="4" t="n">
        <x:v>6000</x:v>
      </x:c>
      <x:c r="G130" t="str"/>
    </x:row>
    <x:row r="131">
      <x:c r="A131" s="2" t="n">
        <x:v>46054</x:v>
      </x:c>
      <x:c r="B131" t="str">
        <x:v>Prime Meat Co</x:v>
      </x:c>
      <x:c r="C131" t="str">
        <x:v>Food</x:v>
      </x:c>
      <x:c r="D131" t="str">
        <x:v>Vauxhall</x:v>
      </x:c>
      <x:c r="E131" s="4" t="n">
        <x:v>5337.97</x:v>
      </x:c>
      <x:c r="F131" s="4" t="n">
        <x:v>5200</x:v>
      </x:c>
      <x:c r="G131" t="str"/>
    </x:row>
    <x:row r="132">
      <x:c r="A132" s="2" t="n">
        <x:v>46054</x:v>
      </x:c>
      <x:c r="B132" t="str">
        <x:v>Prime Meat Co</x:v>
      </x:c>
      <x:c r="C132" t="str">
        <x:v>Food</x:v>
      </x:c>
      <x:c r="D132" t="str">
        <x:v>Borough</x:v>
      </x:c>
      <x:c r="E132" s="4" t="n">
        <x:v>1476.9</x:v>
      </x:c>
      <x:c r="F132" s="4" t="n">
        <x:v>1500</x:v>
      </x:c>
      <x:c r="G132" t="str"/>
    </x:row>
    <x:row r="133">
      <x:c r="A133" s="2" t="n">
        <x:v>46054</x:v>
      </x:c>
      <x:c r="B133" t="str">
        <x:v>Prime Meat Co</x:v>
      </x:c>
      <x:c r="C133" t="str">
        <x:v>Food</x:v>
      </x:c>
      <x:c r="D133" t="str">
        <x:v>Camden</x:v>
      </x:c>
      <x:c r="E133" s="4" t="n">
        <x:v>482.32</x:v>
      </x:c>
      <x:c r="F133" s="4" t="n">
        <x:v>500</x:v>
      </x:c>
      <x:c r="G133" t="str"/>
    </x:row>
    <x:row r="134">
      <x:c r="A134" s="2" t="n">
        <x:v>46054</x:v>
      </x:c>
      <x:c r="B134" t="str">
        <x:v>CleanPro Services</x:v>
      </x:c>
      <x:c r="C134" t="str">
        <x:v>Cleaning</x:v>
      </x:c>
      <x:c r="D134" t="str">
        <x:v>Soho</x:v>
      </x:c>
      <x:c r="E134" s="4" t="n">
        <x:v>1854.43</x:v>
      </x:c>
      <x:c r="F134" s="4" t="n">
        <x:v>1800</x:v>
      </x:c>
      <x:c r="G134" t="str"/>
    </x:row>
    <x:row r="135">
      <x:c r="A135" s="2" t="n">
        <x:v>46054</x:v>
      </x:c>
      <x:c r="B135" t="str">
        <x:v>CleanPro Services</x:v>
      </x:c>
      <x:c r="C135" t="str">
        <x:v>Cleaning</x:v>
      </x:c>
      <x:c r="D135" t="str">
        <x:v>Vauxhall</x:v>
      </x:c>
      <x:c r="E135" s="4" t="n">
        <x:v>1657.21</x:v>
      </x:c>
      <x:c r="F135" s="4" t="n">
        <x:v>1600</x:v>
      </x:c>
      <x:c r="G135" t="str"/>
    </x:row>
    <x:row r="136">
      <x:c r="A136" s="2" t="n">
        <x:v>46054</x:v>
      </x:c>
      <x:c r="B136" t="str">
        <x:v>CleanPro Services</x:v>
      </x:c>
      <x:c r="C136" t="str">
        <x:v>Cleaning</x:v>
      </x:c>
      <x:c r="D136" t="str">
        <x:v>Borough</x:v>
      </x:c>
      <x:c r="E136" s="4" t="n">
        <x:v>870.17</x:v>
      </x:c>
      <x:c r="F136" s="4" t="n">
        <x:v>900</x:v>
      </x:c>
      <x:c r="G136" t="str"/>
    </x:row>
    <x:row r="137">
      <x:c r="A137" s="2" t="n">
        <x:v>46054</x:v>
      </x:c>
      <x:c r="B137" t="str">
        <x:v>CleanPro Services</x:v>
      </x:c>
      <x:c r="C137" t="str">
        <x:v>Cleaning</x:v>
      </x:c>
      <x:c r="D137" t="str">
        <x:v>Camden</x:v>
      </x:c>
      <x:c r="E137" s="4" t="n">
        <x:v>1198.66</x:v>
      </x:c>
      <x:c r="F137" s="4" t="n">
        <x:v>1200</x:v>
      </x:c>
      <x:c r="G137" t="str"/>
    </x:row>
    <x:row r="138">
      <x:c r="A138" s="2" t="n">
        <x:v>46054</x:v>
      </x:c>
      <x:c r="B138" t="str">
        <x:v>London Linen</x:v>
      </x:c>
      <x:c r="C138" t="str">
        <x:v>Linen</x:v>
      </x:c>
      <x:c r="D138" t="str">
        <x:v>Soho</x:v>
      </x:c>
      <x:c r="E138" s="4" t="n">
        <x:v>1448.31</x:v>
      </x:c>
      <x:c r="F138" s="4" t="n">
        <x:v>1500</x:v>
      </x:c>
      <x:c r="G138" t="str"/>
    </x:row>
    <x:row r="139">
      <x:c r="A139" s="2" t="n">
        <x:v>46054</x:v>
      </x:c>
      <x:c r="B139" t="str">
        <x:v>London Linen</x:v>
      </x:c>
      <x:c r="C139" t="str">
        <x:v>Linen</x:v>
      </x:c>
      <x:c r="D139" t="str">
        <x:v>Vauxhall</x:v>
      </x:c>
      <x:c r="E139" s="4" t="n">
        <x:v>1429.19</x:v>
      </x:c>
      <x:c r="F139" s="4" t="n">
        <x:v>1400</x:v>
      </x:c>
      <x:c r="G139" t="str"/>
    </x:row>
    <x:row r="140">
      <x:c r="A140" s="2" t="n">
        <x:v>46054</x:v>
      </x:c>
      <x:c r="B140" t="str">
        <x:v>London Linen</x:v>
      </x:c>
      <x:c r="C140" t="str">
        <x:v>Linen</x:v>
      </x:c>
      <x:c r="D140" t="str">
        <x:v>Borough</x:v>
      </x:c>
      <x:c r="E140" s="4" t="n">
        <x:v>714.89</x:v>
      </x:c>
      <x:c r="F140" s="4" t="n">
        <x:v>700</x:v>
      </x:c>
      <x:c r="G140" t="str"/>
    </x:row>
    <x:row r="141">
      <x:c r="A141" s="2" t="n">
        <x:v>46054</x:v>
      </x:c>
      <x:c r="B141" t="str">
        <x:v>London Linen</x:v>
      </x:c>
      <x:c r="C141" t="str">
        <x:v>Linen</x:v>
      </x:c>
      <x:c r="D141" t="str">
        <x:v>Camden</x:v>
      </x:c>
      <x:c r="E141" s="4" t="n">
        <x:v>873.24</x:v>
      </x:c>
      <x:c r="F141" s="4" t="n">
        <x:v>900</x:v>
      </x:c>
      <x:c r="G141" t="str"/>
    </x:row>
    <x:row r="142">
      <x:c r="A142" s="2" t="n">
        <x:v>46054</x:v>
      </x:c>
      <x:c r="B142" t="str">
        <x:v>Rapid Repairs</x:v>
      </x:c>
      <x:c r="C142" t="str">
        <x:v>Maintenance</x:v>
      </x:c>
      <x:c r="D142" t="str">
        <x:v>Soho</x:v>
      </x:c>
      <x:c r="E142" s="4" t="n">
        <x:v>898.22</x:v>
      </x:c>
      <x:c r="F142" s="4" t="n">
        <x:v>900</x:v>
      </x:c>
      <x:c r="G142" t="str"/>
    </x:row>
    <x:row r="143">
      <x:c r="A143" s="2" t="n">
        <x:v>46054</x:v>
      </x:c>
      <x:c r="B143" t="str">
        <x:v>Rapid Repairs</x:v>
      </x:c>
      <x:c r="C143" t="str">
        <x:v>Maintenance</x:v>
      </x:c>
      <x:c r="D143" t="str">
        <x:v>Vauxhall</x:v>
      </x:c>
      <x:c r="E143" s="4" t="n">
        <x:v>853.39</x:v>
      </x:c>
      <x:c r="F143" s="4" t="n">
        <x:v>850</x:v>
      </x:c>
      <x:c r="G143" t="str"/>
    </x:row>
    <x:row r="144">
      <x:c r="A144" s="2" t="n">
        <x:v>46054</x:v>
      </x:c>
      <x:c r="B144" t="str">
        <x:v>Rapid Repairs</x:v>
      </x:c>
      <x:c r="C144" t="str">
        <x:v>Maintenance</x:v>
      </x:c>
      <x:c r="D144" t="str">
        <x:v>Borough</x:v>
      </x:c>
      <x:c r="E144" s="4" t="n">
        <x:v>490.6</x:v>
      </x:c>
      <x:c r="F144" s="4" t="n">
        <x:v>500</x:v>
      </x:c>
      <x:c r="G144" t="str"/>
    </x:row>
    <x:row r="145">
      <x:c r="A145" s="2" t="n">
        <x:v>46054</x:v>
      </x:c>
      <x:c r="B145" t="str">
        <x:v>Rapid Repairs</x:v>
      </x:c>
      <x:c r="C145" t="str">
        <x:v>Maintenance</x:v>
      </x:c>
      <x:c r="D145" t="str">
        <x:v>Camden</x:v>
      </x:c>
      <x:c r="E145" s="4" t="n">
        <x:v>669.37</x:v>
      </x:c>
      <x:c r="F145" s="4" t="n">
        <x:v>650</x:v>
      </x:c>
      <x:c r="G145" t="str"/>
    </x:row>
    <x:row r="146">
      <x:c r="A146" s="2" t="n">
        <x:v>46082</x:v>
      </x:c>
      <x:c r="B146" t="str">
        <x:v>Fresh Foods Ltd</x:v>
      </x:c>
      <x:c r="C146" t="str">
        <x:v>Food</x:v>
      </x:c>
      <x:c r="D146" t="str">
        <x:v>Soho</x:v>
      </x:c>
      <x:c r="E146" s="4" t="n">
        <x:v>9441.58</x:v>
      </x:c>
      <x:c r="F146" s="4" t="n">
        <x:v>9500</x:v>
      </x:c>
      <x:c r="G146" t="str"/>
    </x:row>
    <x:row r="147">
      <x:c r="A147" s="2" t="n">
        <x:v>46082</x:v>
      </x:c>
      <x:c r="B147" t="str">
        <x:v>Fresh Foods Ltd</x:v>
      </x:c>
      <x:c r="C147" t="str">
        <x:v>Food</x:v>
      </x:c>
      <x:c r="D147" t="str">
        <x:v>Vauxhall</x:v>
      </x:c>
      <x:c r="E147" s="4" t="n">
        <x:v>9158.94</x:v>
      </x:c>
      <x:c r="F147" s="4" t="n">
        <x:v>8200</x:v>
      </x:c>
      <x:c r="G147" t="str">
        <x:v>Spend increase vs baseline</x:v>
      </x:c>
    </x:row>
    <x:row r="148">
      <x:c r="A148" s="2" t="n">
        <x:v>46082</x:v>
      </x:c>
      <x:c r="B148" t="str">
        <x:v>Fresh Foods Ltd</x:v>
      </x:c>
      <x:c r="C148" t="str">
        <x:v>Food</x:v>
      </x:c>
      <x:c r="D148" t="str">
        <x:v>Borough</x:v>
      </x:c>
      <x:c r="E148" s="4" t="n">
        <x:v>4213.2</x:v>
      </x:c>
      <x:c r="F148" s="4" t="n">
        <x:v>4200</x:v>
      </x:c>
      <x:c r="G148" t="str"/>
    </x:row>
    <x:row r="149">
      <x:c r="A149" s="2" t="n">
        <x:v>46082</x:v>
      </x:c>
      <x:c r="B149" t="str">
        <x:v>Fresh Foods Ltd</x:v>
      </x:c>
      <x:c r="C149" t="str">
        <x:v>Food</x:v>
      </x:c>
      <x:c r="D149" t="str">
        <x:v>Camden</x:v>
      </x:c>
      <x:c r="E149" s="4" t="n">
        <x:v>1833.11</x:v>
      </x:c>
      <x:c r="F149" s="4" t="n">
        <x:v>1800</x:v>
      </x:c>
      <x:c r="G149" t="str"/>
    </x:row>
    <x:row r="150">
      <x:c r="A150" s="2" t="n">
        <x:v>46082</x:v>
      </x:c>
      <x:c r="B150" t="str">
        <x:v>City Beverages</x:v>
      </x:c>
      <x:c r="C150" t="str">
        <x:v>Beverage</x:v>
      </x:c>
      <x:c r="D150" t="str">
        <x:v>Soho</x:v>
      </x:c>
      <x:c r="E150" s="4" t="n">
        <x:v>6832.64</x:v>
      </x:c>
      <x:c r="F150" s="4" t="n">
        <x:v>7000</x:v>
      </x:c>
      <x:c r="G150" t="str"/>
    </x:row>
    <x:row r="151">
      <x:c r="A151" s="2" t="n">
        <x:v>46082</x:v>
      </x:c>
      <x:c r="B151" t="str">
        <x:v>City Beverages</x:v>
      </x:c>
      <x:c r="C151" t="str">
        <x:v>Beverage</x:v>
      </x:c>
      <x:c r="D151" t="str">
        <x:v>Vauxhall</x:v>
      </x:c>
      <x:c r="E151" s="4" t="n">
        <x:v>6106.61</x:v>
      </x:c>
      <x:c r="F151" s="4" t="n">
        <x:v>6200</x:v>
      </x:c>
      <x:c r="G151" t="str"/>
    </x:row>
    <x:row r="152">
      <x:c r="A152" s="2" t="n">
        <x:v>46082</x:v>
      </x:c>
      <x:c r="B152" t="str">
        <x:v>City Beverages</x:v>
      </x:c>
      <x:c r="C152" t="str">
        <x:v>Beverage</x:v>
      </x:c>
      <x:c r="D152" t="str">
        <x:v>Borough</x:v>
      </x:c>
      <x:c r="E152" s="4" t="n">
        <x:v>2702.99</x:v>
      </x:c>
      <x:c r="F152" s="4" t="n">
        <x:v>2600</x:v>
      </x:c>
      <x:c r="G152" t="str"/>
    </x:row>
    <x:row r="153">
      <x:c r="A153" s="2" t="n">
        <x:v>46082</x:v>
      </x:c>
      <x:c r="B153" t="str">
        <x:v>City Beverages</x:v>
      </x:c>
      <x:c r="C153" t="str">
        <x:v>Beverage</x:v>
      </x:c>
      <x:c r="D153" t="str">
        <x:v>Camden</x:v>
      </x:c>
      <x:c r="E153" s="4" t="n">
        <x:v>9107.91</x:v>
      </x:c>
      <x:c r="F153" s="4" t="n">
        <x:v>9000</x:v>
      </x:c>
      <x:c r="G153" t="str"/>
    </x:row>
    <x:row r="154">
      <x:c r="A154" s="2" t="n">
        <x:v>46082</x:v>
      </x:c>
      <x:c r="B154" t="str">
        <x:v>Prime Meat Co</x:v>
      </x:c>
      <x:c r="C154" t="str">
        <x:v>Food</x:v>
      </x:c>
      <x:c r="D154" t="str">
        <x:v>Soho</x:v>
      </x:c>
      <x:c r="E154" s="4" t="n">
        <x:v>5970.29</x:v>
      </x:c>
      <x:c r="F154" s="4" t="n">
        <x:v>6000</x:v>
      </x:c>
      <x:c r="G154" t="str"/>
    </x:row>
    <x:row r="155">
      <x:c r="A155" s="2" t="n">
        <x:v>46082</x:v>
      </x:c>
      <x:c r="B155" t="str">
        <x:v>Prime Meat Co</x:v>
      </x:c>
      <x:c r="C155" t="str">
        <x:v>Food</x:v>
      </x:c>
      <x:c r="D155" t="str">
        <x:v>Vauxhall</x:v>
      </x:c>
      <x:c r="E155" s="4" t="n">
        <x:v>5207.31</x:v>
      </x:c>
      <x:c r="F155" s="4" t="n">
        <x:v>5200</x:v>
      </x:c>
      <x:c r="G155" t="str"/>
    </x:row>
    <x:row r="156">
      <x:c r="A156" s="2" t="n">
        <x:v>46082</x:v>
      </x:c>
      <x:c r="B156" t="str">
        <x:v>Prime Meat Co</x:v>
      </x:c>
      <x:c r="C156" t="str">
        <x:v>Food</x:v>
      </x:c>
      <x:c r="D156" t="str">
        <x:v>Borough</x:v>
      </x:c>
      <x:c r="E156" s="4" t="n">
        <x:v>1454.52</x:v>
      </x:c>
      <x:c r="F156" s="4" t="n">
        <x:v>1500</x:v>
      </x:c>
      <x:c r="G156" t="str"/>
    </x:row>
    <x:row r="157">
      <x:c r="A157" s="2" t="n">
        <x:v>46082</x:v>
      </x:c>
      <x:c r="B157" t="str">
        <x:v>Prime Meat Co</x:v>
      </x:c>
      <x:c r="C157" t="str">
        <x:v>Food</x:v>
      </x:c>
      <x:c r="D157" t="str">
        <x:v>Camden</x:v>
      </x:c>
      <x:c r="E157" s="4" t="n">
        <x:v>488.99</x:v>
      </x:c>
      <x:c r="F157" s="4" t="n">
        <x:v>500</x:v>
      </x:c>
      <x:c r="G157" t="str"/>
    </x:row>
    <x:row r="158">
      <x:c r="A158" s="2" t="n">
        <x:v>46082</x:v>
      </x:c>
      <x:c r="B158" t="str">
        <x:v>CleanPro Services</x:v>
      </x:c>
      <x:c r="C158" t="str">
        <x:v>Cleaning</x:v>
      </x:c>
      <x:c r="D158" t="str">
        <x:v>Soho</x:v>
      </x:c>
      <x:c r="E158" s="4" t="n">
        <x:v>1776.68</x:v>
      </x:c>
      <x:c r="F158" s="4" t="n">
        <x:v>1800</x:v>
      </x:c>
      <x:c r="G158" t="str"/>
    </x:row>
    <x:row r="159">
      <x:c r="A159" s="2" t="n">
        <x:v>46082</x:v>
      </x:c>
      <x:c r="B159" t="str">
        <x:v>CleanPro Services</x:v>
      </x:c>
      <x:c r="C159" t="str">
        <x:v>Cleaning</x:v>
      </x:c>
      <x:c r="D159" t="str">
        <x:v>Vauxhall</x:v>
      </x:c>
      <x:c r="E159" s="4" t="n">
        <x:v>1611.3</x:v>
      </x:c>
      <x:c r="F159" s="4" t="n">
        <x:v>1600</x:v>
      </x:c>
      <x:c r="G159" t="str"/>
    </x:row>
    <x:row r="160">
      <x:c r="A160" s="2" t="n">
        <x:v>46082</x:v>
      </x:c>
      <x:c r="B160" t="str">
        <x:v>CleanPro Services</x:v>
      </x:c>
      <x:c r="C160" t="str">
        <x:v>Cleaning</x:v>
      </x:c>
      <x:c r="D160" t="str">
        <x:v>Borough</x:v>
      </x:c>
      <x:c r="E160" s="4" t="n">
        <x:v>880.57</x:v>
      </x:c>
      <x:c r="F160" s="4" t="n">
        <x:v>900</x:v>
      </x:c>
      <x:c r="G160" t="str"/>
    </x:row>
    <x:row r="161">
      <x:c r="A161" s="2" t="n">
        <x:v>46082</x:v>
      </x:c>
      <x:c r="B161" t="str">
        <x:v>CleanPro Services</x:v>
      </x:c>
      <x:c r="C161" t="str">
        <x:v>Cleaning</x:v>
      </x:c>
      <x:c r="D161" t="str">
        <x:v>Camden</x:v>
      </x:c>
      <x:c r="E161" s="4" t="n">
        <x:v>1173.14</x:v>
      </x:c>
      <x:c r="F161" s="4" t="n">
        <x:v>1200</x:v>
      </x:c>
      <x:c r="G161" t="str"/>
    </x:row>
    <x:row r="162">
      <x:c r="A162" s="2" t="n">
        <x:v>46082</x:v>
      </x:c>
      <x:c r="B162" t="str">
        <x:v>London Linen</x:v>
      </x:c>
      <x:c r="C162" t="str">
        <x:v>Linen</x:v>
      </x:c>
      <x:c r="D162" t="str">
        <x:v>Soho</x:v>
      </x:c>
      <x:c r="E162" s="4" t="n">
        <x:v>1448.52</x:v>
      </x:c>
      <x:c r="F162" s="4" t="n">
        <x:v>1500</x:v>
      </x:c>
      <x:c r="G162" t="str"/>
    </x:row>
    <x:row r="163">
      <x:c r="A163" s="2" t="n">
        <x:v>46082</x:v>
      </x:c>
      <x:c r="B163" t="str">
        <x:v>London Linen</x:v>
      </x:c>
      <x:c r="C163" t="str">
        <x:v>Linen</x:v>
      </x:c>
      <x:c r="D163" t="str">
        <x:v>Vauxhall</x:v>
      </x:c>
      <x:c r="E163" s="4" t="n">
        <x:v>1414.68</x:v>
      </x:c>
      <x:c r="F163" s="4" t="n">
        <x:v>1400</x:v>
      </x:c>
      <x:c r="G163" t="str"/>
    </x:row>
    <x:row r="164">
      <x:c r="A164" s="2" t="n">
        <x:v>46082</x:v>
      </x:c>
      <x:c r="B164" t="str">
        <x:v>London Linen</x:v>
      </x:c>
      <x:c r="C164" t="str">
        <x:v>Linen</x:v>
      </x:c>
      <x:c r="D164" t="str">
        <x:v>Borough</x:v>
      </x:c>
      <x:c r="E164" s="4" t="n">
        <x:v>684.82</x:v>
      </x:c>
      <x:c r="F164" s="4" t="n">
        <x:v>700</x:v>
      </x:c>
      <x:c r="G164" t="str"/>
    </x:row>
    <x:row r="165">
      <x:c r="A165" s="2" t="n">
        <x:v>46082</x:v>
      </x:c>
      <x:c r="B165" t="str">
        <x:v>London Linen</x:v>
      </x:c>
      <x:c r="C165" t="str">
        <x:v>Linen</x:v>
      </x:c>
      <x:c r="D165" t="str">
        <x:v>Camden</x:v>
      </x:c>
      <x:c r="E165" s="4" t="n">
        <x:v>929.19</x:v>
      </x:c>
      <x:c r="F165" s="4" t="n">
        <x:v>900</x:v>
      </x:c>
      <x:c r="G165" t="str"/>
    </x:row>
    <x:row r="166">
      <x:c r="A166" s="2" t="n">
        <x:v>46082</x:v>
      </x:c>
      <x:c r="B166" t="str">
        <x:v>Rapid Repairs</x:v>
      </x:c>
      <x:c r="C166" t="str">
        <x:v>Maintenance</x:v>
      </x:c>
      <x:c r="D166" t="str">
        <x:v>Soho</x:v>
      </x:c>
      <x:c r="E166" s="4" t="n">
        <x:v>925.89</x:v>
      </x:c>
      <x:c r="F166" s="4" t="n">
        <x:v>900</x:v>
      </x:c>
      <x:c r="G166" t="str"/>
    </x:row>
    <x:row r="167">
      <x:c r="A167" s="2" t="n">
        <x:v>46082</x:v>
      </x:c>
      <x:c r="B167" t="str">
        <x:v>Rapid Repairs</x:v>
      </x:c>
      <x:c r="C167" t="str">
        <x:v>Maintenance</x:v>
      </x:c>
      <x:c r="D167" t="str">
        <x:v>Vauxhall</x:v>
      </x:c>
      <x:c r="E167" s="4" t="n">
        <x:v>820.82</x:v>
      </x:c>
      <x:c r="F167" s="4" t="n">
        <x:v>850</x:v>
      </x:c>
      <x:c r="G167" t="str"/>
    </x:row>
    <x:row r="168">
      <x:c r="A168" s="2" t="n">
        <x:v>46082</x:v>
      </x:c>
      <x:c r="B168" t="str">
        <x:v>Rapid Repairs</x:v>
      </x:c>
      <x:c r="C168" t="str">
        <x:v>Maintenance</x:v>
      </x:c>
      <x:c r="D168" t="str">
        <x:v>Borough</x:v>
      </x:c>
      <x:c r="E168" s="4" t="n">
        <x:v>489.52</x:v>
      </x:c>
      <x:c r="F168" s="4" t="n">
        <x:v>500</x:v>
      </x:c>
      <x:c r="G168" t="str"/>
    </x:row>
    <x:row r="169">
      <x:c r="A169" s="2" t="n">
        <x:v>46082</x:v>
      </x:c>
      <x:c r="B169" t="str">
        <x:v>Rapid Repairs</x:v>
      </x:c>
      <x:c r="C169" t="str">
        <x:v>Maintenance</x:v>
      </x:c>
      <x:c r="D169" t="str">
        <x:v>Camden</x:v>
      </x:c>
      <x:c r="E169" s="4" t="n">
        <x:v>658.79</x:v>
      </x:c>
      <x:c r="F169" s="4" t="n">
        <x:v>650</x:v>
      </x:c>
      <x:c r="G169" t="str"/>
    </x:row>
    <x:row r="170">
      <x:c r="A170" s="2" t="n">
        <x:v>46113</x:v>
      </x:c>
      <x:c r="B170" t="str">
        <x:v>Fresh Foods Ltd</x:v>
      </x:c>
      <x:c r="C170" t="str">
        <x:v>Food</x:v>
      </x:c>
      <x:c r="D170" t="str">
        <x:v>Soho</x:v>
      </x:c>
      <x:c r="E170" s="4" t="n">
        <x:v>9282.82</x:v>
      </x:c>
      <x:c r="F170" s="4" t="n">
        <x:v>9500</x:v>
      </x:c>
      <x:c r="G170" t="str"/>
    </x:row>
    <x:row r="171">
      <x:c r="A171" s="2" t="n">
        <x:v>46113</x:v>
      </x:c>
      <x:c r="B171" t="str">
        <x:v>Fresh Foods Ltd</x:v>
      </x:c>
      <x:c r="C171" t="str">
        <x:v>Food</x:v>
      </x:c>
      <x:c r="D171" t="str">
        <x:v>Vauxhall</x:v>
      </x:c>
      <x:c r="E171" s="4" t="n">
        <x:v>9106.8</x:v>
      </x:c>
      <x:c r="F171" s="4" t="n">
        <x:v>8200</x:v>
      </x:c>
      <x:c r="G171" t="str">
        <x:v>Spend increase vs baseline</x:v>
      </x:c>
    </x:row>
    <x:row r="172">
      <x:c r="A172" s="2" t="n">
        <x:v>46113</x:v>
      </x:c>
      <x:c r="B172" t="str">
        <x:v>Fresh Foods Ltd</x:v>
      </x:c>
      <x:c r="C172" t="str">
        <x:v>Food</x:v>
      </x:c>
      <x:c r="D172" t="str">
        <x:v>Borough</x:v>
      </x:c>
      <x:c r="E172" s="4" t="n">
        <x:v>4346.33</x:v>
      </x:c>
      <x:c r="F172" s="4" t="n">
        <x:v>4200</x:v>
      </x:c>
      <x:c r="G172" t="str"/>
    </x:row>
    <x:row r="173">
      <x:c r="A173" s="2" t="n">
        <x:v>46113</x:v>
      </x:c>
      <x:c r="B173" t="str">
        <x:v>Fresh Foods Ltd</x:v>
      </x:c>
      <x:c r="C173" t="str">
        <x:v>Food</x:v>
      </x:c>
      <x:c r="D173" t="str">
        <x:v>Camden</x:v>
      </x:c>
      <x:c r="E173" s="4" t="n">
        <x:v>1810.23</x:v>
      </x:c>
      <x:c r="F173" s="4" t="n">
        <x:v>1800</x:v>
      </x:c>
      <x:c r="G173" t="str"/>
    </x:row>
    <x:row r="174">
      <x:c r="A174" s="2" t="n">
        <x:v>46113</x:v>
      </x:c>
      <x:c r="B174" t="str">
        <x:v>City Beverages</x:v>
      </x:c>
      <x:c r="C174" t="str">
        <x:v>Beverage</x:v>
      </x:c>
      <x:c r="D174" t="str">
        <x:v>Soho</x:v>
      </x:c>
      <x:c r="E174" s="4" t="n">
        <x:v>6984.7</x:v>
      </x:c>
      <x:c r="F174" s="4" t="n">
        <x:v>7000</x:v>
      </x:c>
      <x:c r="G174" t="str"/>
    </x:row>
    <x:row r="175">
      <x:c r="A175" s="2" t="n">
        <x:v>46113</x:v>
      </x:c>
      <x:c r="B175" t="str">
        <x:v>City Beverages</x:v>
      </x:c>
      <x:c r="C175" t="str">
        <x:v>Beverage</x:v>
      </x:c>
      <x:c r="D175" t="str">
        <x:v>Vauxhall</x:v>
      </x:c>
      <x:c r="E175" s="4" t="n">
        <x:v>6341.17</x:v>
      </x:c>
      <x:c r="F175" s="4" t="n">
        <x:v>6200</x:v>
      </x:c>
      <x:c r="G175" t="str"/>
    </x:row>
    <x:row r="176">
      <x:c r="A176" s="2" t="n">
        <x:v>46113</x:v>
      </x:c>
      <x:c r="B176" t="str">
        <x:v>City Beverages</x:v>
      </x:c>
      <x:c r="C176" t="str">
        <x:v>Beverage</x:v>
      </x:c>
      <x:c r="D176" t="str">
        <x:v>Borough</x:v>
      </x:c>
      <x:c r="E176" s="4" t="n">
        <x:v>2663.96</x:v>
      </x:c>
      <x:c r="F176" s="4" t="n">
        <x:v>2600</x:v>
      </x:c>
      <x:c r="G176" t="str"/>
    </x:row>
    <x:row r="177">
      <x:c r="A177" s="2" t="n">
        <x:v>46113</x:v>
      </x:c>
      <x:c r="B177" t="str">
        <x:v>City Beverages</x:v>
      </x:c>
      <x:c r="C177" t="str">
        <x:v>Beverage</x:v>
      </x:c>
      <x:c r="D177" t="str">
        <x:v>Camden</x:v>
      </x:c>
      <x:c r="E177" s="4" t="n">
        <x:v>8777.1</x:v>
      </x:c>
      <x:c r="F177" s="4" t="n">
        <x:v>9000</x:v>
      </x:c>
      <x:c r="G177" t="str"/>
    </x:row>
    <x:row r="178">
      <x:c r="A178" s="2" t="n">
        <x:v>46113</x:v>
      </x:c>
      <x:c r="B178" t="str">
        <x:v>Prime Meat Co</x:v>
      </x:c>
      <x:c r="C178" t="str">
        <x:v>Food</x:v>
      </x:c>
      <x:c r="D178" t="str">
        <x:v>Soho</x:v>
      </x:c>
      <x:c r="E178" s="4" t="n">
        <x:v>5806.53</x:v>
      </x:c>
      <x:c r="F178" s="4" t="n">
        <x:v>6000</x:v>
      </x:c>
      <x:c r="G178" t="str"/>
    </x:row>
    <x:row r="179">
      <x:c r="A179" s="2" t="n">
        <x:v>46113</x:v>
      </x:c>
      <x:c r="B179" t="str">
        <x:v>Prime Meat Co</x:v>
      </x:c>
      <x:c r="C179" t="str">
        <x:v>Food</x:v>
      </x:c>
      <x:c r="D179" t="str">
        <x:v>Vauxhall</x:v>
      </x:c>
      <x:c r="E179" s="4" t="n">
        <x:v>5171.32</x:v>
      </x:c>
      <x:c r="F179" s="4" t="n">
        <x:v>5200</x:v>
      </x:c>
      <x:c r="G179" t="str"/>
    </x:row>
    <x:row r="180">
      <x:c r="A180" s="2" t="n">
        <x:v>46113</x:v>
      </x:c>
      <x:c r="B180" t="str">
        <x:v>Prime Meat Co</x:v>
      </x:c>
      <x:c r="C180" t="str">
        <x:v>Food</x:v>
      </x:c>
      <x:c r="D180" t="str">
        <x:v>Borough</x:v>
      </x:c>
      <x:c r="E180" s="4" t="n">
        <x:v>1490.83</x:v>
      </x:c>
      <x:c r="F180" s="4" t="n">
        <x:v>1500</x:v>
      </x:c>
      <x:c r="G180" t="str"/>
    </x:row>
    <x:row r="181">
      <x:c r="A181" s="2" t="n">
        <x:v>46113</x:v>
      </x:c>
      <x:c r="B181" t="str">
        <x:v>Prime Meat Co</x:v>
      </x:c>
      <x:c r="C181" t="str">
        <x:v>Food</x:v>
      </x:c>
      <x:c r="D181" t="str">
        <x:v>Camden</x:v>
      </x:c>
      <x:c r="E181" s="4" t="n">
        <x:v>498.68</x:v>
      </x:c>
      <x:c r="F181" s="4" t="n">
        <x:v>500</x:v>
      </x:c>
      <x:c r="G181" t="str"/>
    </x:row>
    <x:row r="182">
      <x:c r="A182" s="2" t="n">
        <x:v>46113</x:v>
      </x:c>
      <x:c r="B182" t="str">
        <x:v>CleanPro Services</x:v>
      </x:c>
      <x:c r="C182" t="str">
        <x:v>Cleaning</x:v>
      </x:c>
      <x:c r="D182" t="str">
        <x:v>Soho</x:v>
      </x:c>
      <x:c r="E182" s="4" t="n">
        <x:v>1832.99</x:v>
      </x:c>
      <x:c r="F182" s="4" t="n">
        <x:v>1800</x:v>
      </x:c>
      <x:c r="G182" t="str"/>
    </x:row>
    <x:row r="183">
      <x:c r="A183" s="2" t="n">
        <x:v>46113</x:v>
      </x:c>
      <x:c r="B183" t="str">
        <x:v>CleanPro Services</x:v>
      </x:c>
      <x:c r="C183" t="str">
        <x:v>Cleaning</x:v>
      </x:c>
      <x:c r="D183" t="str">
        <x:v>Vauxhall</x:v>
      </x:c>
      <x:c r="E183" s="4" t="n">
        <x:v>1622.19</x:v>
      </x:c>
      <x:c r="F183" s="4" t="n">
        <x:v>1600</x:v>
      </x:c>
      <x:c r="G183" t="str"/>
    </x:row>
    <x:row r="184">
      <x:c r="A184" s="2" t="n">
        <x:v>46113</x:v>
      </x:c>
      <x:c r="B184" t="str">
        <x:v>CleanPro Services</x:v>
      </x:c>
      <x:c r="C184" t="str">
        <x:v>Cleaning</x:v>
      </x:c>
      <x:c r="D184" t="str">
        <x:v>Borough</x:v>
      </x:c>
      <x:c r="E184" s="4" t="n">
        <x:v>934.86</x:v>
      </x:c>
      <x:c r="F184" s="4" t="n">
        <x:v>900</x:v>
      </x:c>
      <x:c r="G184" t="str"/>
    </x:row>
    <x:row r="185">
      <x:c r="A185" s="2" t="n">
        <x:v>46113</x:v>
      </x:c>
      <x:c r="B185" t="str">
        <x:v>CleanPro Services</x:v>
      </x:c>
      <x:c r="C185" t="str">
        <x:v>Cleaning</x:v>
      </x:c>
      <x:c r="D185" t="str">
        <x:v>Camden</x:v>
      </x:c>
      <x:c r="E185" s="4" t="n">
        <x:v>1161.45</x:v>
      </x:c>
      <x:c r="F185" s="4" t="n">
        <x:v>1200</x:v>
      </x:c>
      <x:c r="G185" t="str"/>
    </x:row>
    <x:row r="186">
      <x:c r="A186" s="2" t="n">
        <x:v>46113</x:v>
      </x:c>
      <x:c r="B186" t="str">
        <x:v>London Linen</x:v>
      </x:c>
      <x:c r="C186" t="str">
        <x:v>Linen</x:v>
      </x:c>
      <x:c r="D186" t="str">
        <x:v>Soho</x:v>
      </x:c>
      <x:c r="E186" s="4" t="n">
        <x:v>1488.31</x:v>
      </x:c>
      <x:c r="F186" s="4" t="n">
        <x:v>1500</x:v>
      </x:c>
      <x:c r="G186" t="str"/>
    </x:row>
    <x:row r="187">
      <x:c r="A187" s="2" t="n">
        <x:v>46113</x:v>
      </x:c>
      <x:c r="B187" t="str">
        <x:v>London Linen</x:v>
      </x:c>
      <x:c r="C187" t="str">
        <x:v>Linen</x:v>
      </x:c>
      <x:c r="D187" t="str">
        <x:v>Vauxhall</x:v>
      </x:c>
      <x:c r="E187" s="4" t="n">
        <x:v>1382</x:v>
      </x:c>
      <x:c r="F187" s="4" t="n">
        <x:v>1400</x:v>
      </x:c>
      <x:c r="G187" t="str"/>
    </x:row>
    <x:row r="188">
      <x:c r="A188" s="2" t="n">
        <x:v>46113</x:v>
      </x:c>
      <x:c r="B188" t="str">
        <x:v>London Linen</x:v>
      </x:c>
      <x:c r="C188" t="str">
        <x:v>Linen</x:v>
      </x:c>
      <x:c r="D188" t="str">
        <x:v>Borough</x:v>
      </x:c>
      <x:c r="E188" s="4" t="n">
        <x:v>720.25</x:v>
      </x:c>
      <x:c r="F188" s="4" t="n">
        <x:v>700</x:v>
      </x:c>
      <x:c r="G188" t="str"/>
    </x:row>
    <x:row r="189">
      <x:c r="A189" s="2" t="n">
        <x:v>46113</x:v>
      </x:c>
      <x:c r="B189" t="str">
        <x:v>London Linen</x:v>
      </x:c>
      <x:c r="C189" t="str">
        <x:v>Linen</x:v>
      </x:c>
      <x:c r="D189" t="str">
        <x:v>Camden</x:v>
      </x:c>
      <x:c r="E189" s="4" t="n">
        <x:v>881.9</x:v>
      </x:c>
      <x:c r="F189" s="4" t="n">
        <x:v>900</x:v>
      </x:c>
      <x:c r="G189" t="str"/>
    </x:row>
    <x:row r="190">
      <x:c r="A190" s="2" t="n">
        <x:v>46113</x:v>
      </x:c>
      <x:c r="B190" t="str">
        <x:v>Rapid Repairs</x:v>
      </x:c>
      <x:c r="C190" t="str">
        <x:v>Maintenance</x:v>
      </x:c>
      <x:c r="D190" t="str">
        <x:v>Soho</x:v>
      </x:c>
      <x:c r="E190" s="4" t="n">
        <x:v>877.7</x:v>
      </x:c>
      <x:c r="F190" s="4" t="n">
        <x:v>900</x:v>
      </x:c>
      <x:c r="G190" t="str"/>
    </x:row>
    <x:row r="191">
      <x:c r="A191" s="2" t="n">
        <x:v>46113</x:v>
      </x:c>
      <x:c r="B191" t="str">
        <x:v>Rapid Repairs</x:v>
      </x:c>
      <x:c r="C191" t="str">
        <x:v>Maintenance</x:v>
      </x:c>
      <x:c r="D191" t="str">
        <x:v>Vauxhall</x:v>
      </x:c>
      <x:c r="E191" s="4" t="n">
        <x:v>1781.51</x:v>
      </x:c>
      <x:c r="F191" s="4" t="n">
        <x:v>850</x:v>
      </x:c>
      <x:c r="G191" t="str">
        <x:v>Repeated maintenance call-outs</x:v>
      </x:c>
    </x:row>
    <x:row r="192">
      <x:c r="A192" s="2" t="n">
        <x:v>46113</x:v>
      </x:c>
      <x:c r="B192" t="str">
        <x:v>Rapid Repairs</x:v>
      </x:c>
      <x:c r="C192" t="str">
        <x:v>Maintenance</x:v>
      </x:c>
      <x:c r="D192" t="str">
        <x:v>Borough</x:v>
      </x:c>
      <x:c r="E192" s="4" t="n">
        <x:v>496.88</x:v>
      </x:c>
      <x:c r="F192" s="4" t="n">
        <x:v>500</x:v>
      </x:c>
      <x:c r="G192" t="str"/>
    </x:row>
    <x:row r="193">
      <x:c r="A193" s="2" t="n">
        <x:v>46113</x:v>
      </x:c>
      <x:c r="B193" t="str">
        <x:v>Rapid Repairs</x:v>
      </x:c>
      <x:c r="C193" t="str">
        <x:v>Maintenance</x:v>
      </x:c>
      <x:c r="D193" t="str">
        <x:v>Camden</x:v>
      </x:c>
      <x:c r="E193" s="4" t="n">
        <x:v>638.48</x:v>
      </x:c>
      <x:c r="F193" s="4" t="n">
        <x:v>650</x:v>
      </x:c>
      <x:c r="G193" t="str"/>
    </x:row>
    <x:row r="194">
      <x:c r="A194" s="2" t="n">
        <x:v>46143</x:v>
      </x:c>
      <x:c r="B194" t="str">
        <x:v>Fresh Foods Ltd</x:v>
      </x:c>
      <x:c r="C194" t="str">
        <x:v>Food</x:v>
      </x:c>
      <x:c r="D194" t="str">
        <x:v>Soho</x:v>
      </x:c>
      <x:c r="E194" s="4" t="n">
        <x:v>9309.85</x:v>
      </x:c>
      <x:c r="F194" s="4" t="n">
        <x:v>9500</x:v>
      </x:c>
      <x:c r="G194" t="str"/>
    </x:row>
    <x:row r="195">
      <x:c r="A195" s="2" t="n">
        <x:v>46143</x:v>
      </x:c>
      <x:c r="B195" t="str">
        <x:v>Fresh Foods Ltd</x:v>
      </x:c>
      <x:c r="C195" t="str">
        <x:v>Food</x:v>
      </x:c>
      <x:c r="D195" t="str">
        <x:v>Vauxhall</x:v>
      </x:c>
      <x:c r="E195" s="4" t="n">
        <x:v>9625.66</x:v>
      </x:c>
      <x:c r="F195" s="4" t="n">
        <x:v>8200</x:v>
      </x:c>
      <x:c r="G195" t="str">
        <x:v>Spend increase vs baseline</x:v>
      </x:c>
    </x:row>
    <x:row r="196">
      <x:c r="A196" s="2" t="n">
        <x:v>46143</x:v>
      </x:c>
      <x:c r="B196" t="str">
        <x:v>Fresh Foods Ltd</x:v>
      </x:c>
      <x:c r="C196" t="str">
        <x:v>Food</x:v>
      </x:c>
      <x:c r="D196" t="str">
        <x:v>Borough</x:v>
      </x:c>
      <x:c r="E196" s="4" t="n">
        <x:v>4180.89</x:v>
      </x:c>
      <x:c r="F196" s="4" t="n">
        <x:v>4200</x:v>
      </x:c>
      <x:c r="G196" t="str"/>
    </x:row>
    <x:row r="197">
      <x:c r="A197" s="2" t="n">
        <x:v>46143</x:v>
      </x:c>
      <x:c r="B197" t="str">
        <x:v>Fresh Foods Ltd</x:v>
      </x:c>
      <x:c r="C197" t="str">
        <x:v>Food</x:v>
      </x:c>
      <x:c r="D197" t="str">
        <x:v>Camden</x:v>
      </x:c>
      <x:c r="E197" s="4" t="n">
        <x:v>1852.03</x:v>
      </x:c>
      <x:c r="F197" s="4" t="n">
        <x:v>1800</x:v>
      </x:c>
      <x:c r="G197" t="str"/>
    </x:row>
    <x:row r="198">
      <x:c r="A198" s="2" t="n">
        <x:v>46143</x:v>
      </x:c>
      <x:c r="B198" t="str">
        <x:v>City Beverages</x:v>
      </x:c>
      <x:c r="C198" t="str">
        <x:v>Beverage</x:v>
      </x:c>
      <x:c r="D198" t="str">
        <x:v>Soho</x:v>
      </x:c>
      <x:c r="E198" s="4" t="n">
        <x:v>7028.18</x:v>
      </x:c>
      <x:c r="F198" s="4" t="n">
        <x:v>7000</x:v>
      </x:c>
      <x:c r="G198" t="str"/>
    </x:row>
    <x:row r="199">
      <x:c r="A199" s="2" t="n">
        <x:v>46143</x:v>
      </x:c>
      <x:c r="B199" t="str">
        <x:v>City Beverages</x:v>
      </x:c>
      <x:c r="C199" t="str">
        <x:v>Beverage</x:v>
      </x:c>
      <x:c r="D199" t="str">
        <x:v>Vauxhall</x:v>
      </x:c>
      <x:c r="E199" s="4" t="n">
        <x:v>5977.09</x:v>
      </x:c>
      <x:c r="F199" s="4" t="n">
        <x:v>6200</x:v>
      </x:c>
      <x:c r="G199" t="str"/>
    </x:row>
    <x:row r="200">
      <x:c r="A200" s="2" t="n">
        <x:v>46143</x:v>
      </x:c>
      <x:c r="B200" t="str">
        <x:v>City Beverages</x:v>
      </x:c>
      <x:c r="C200" t="str">
        <x:v>Beverage</x:v>
      </x:c>
      <x:c r="D200" t="str">
        <x:v>Borough</x:v>
      </x:c>
      <x:c r="E200" s="4" t="n">
        <x:v>2703.85</x:v>
      </x:c>
      <x:c r="F200" s="4" t="n">
        <x:v>2600</x:v>
      </x:c>
      <x:c r="G200" t="str"/>
    </x:row>
    <x:row r="201">
      <x:c r="A201" s="2" t="n">
        <x:v>46143</x:v>
      </x:c>
      <x:c r="B201" t="str">
        <x:v>City Beverages</x:v>
      </x:c>
      <x:c r="C201" t="str">
        <x:v>Beverage</x:v>
      </x:c>
      <x:c r="D201" t="str">
        <x:v>Camden</x:v>
      </x:c>
      <x:c r="E201" s="4" t="n">
        <x:v>9961.94</x:v>
      </x:c>
      <x:c r="F201" s="4" t="n">
        <x:v>9000</x:v>
      </x:c>
      <x:c r="G201" t="str">
        <x:v>Spend increase vs baseline</x:v>
      </x:c>
    </x:row>
    <x:row r="202">
      <x:c r="A202" s="2" t="n">
        <x:v>46143</x:v>
      </x:c>
      <x:c r="B202" t="str">
        <x:v>Prime Meat Co</x:v>
      </x:c>
      <x:c r="C202" t="str">
        <x:v>Food</x:v>
      </x:c>
      <x:c r="D202" t="str">
        <x:v>Soho</x:v>
      </x:c>
      <x:c r="E202" s="4" t="n">
        <x:v>6225.12</x:v>
      </x:c>
      <x:c r="F202" s="4" t="n">
        <x:v>6000</x:v>
      </x:c>
      <x:c r="G202" t="str"/>
    </x:row>
    <x:row r="203">
      <x:c r="A203" s="2" t="n">
        <x:v>46143</x:v>
      </x:c>
      <x:c r="B203" t="str">
        <x:v>Prime Meat Co</x:v>
      </x:c>
      <x:c r="C203" t="str">
        <x:v>Food</x:v>
      </x:c>
      <x:c r="D203" t="str">
        <x:v>Vauxhall</x:v>
      </x:c>
      <x:c r="E203" s="4" t="n">
        <x:v>5377.37</x:v>
      </x:c>
      <x:c r="F203" s="4" t="n">
        <x:v>5200</x:v>
      </x:c>
      <x:c r="G203" t="str"/>
    </x:row>
    <x:row r="204">
      <x:c r="A204" s="2" t="n">
        <x:v>46143</x:v>
      </x:c>
      <x:c r="B204" t="str">
        <x:v>Prime Meat Co</x:v>
      </x:c>
      <x:c r="C204" t="str">
        <x:v>Food</x:v>
      </x:c>
      <x:c r="D204" t="str">
        <x:v>Borough</x:v>
      </x:c>
      <x:c r="E204" s="4" t="n">
        <x:v>1541.84</x:v>
      </x:c>
      <x:c r="F204" s="4" t="n">
        <x:v>1500</x:v>
      </x:c>
      <x:c r="G204" t="str"/>
    </x:row>
    <x:row r="205">
      <x:c r="A205" s="2" t="n">
        <x:v>46143</x:v>
      </x:c>
      <x:c r="B205" t="str">
        <x:v>Prime Meat Co</x:v>
      </x:c>
      <x:c r="C205" t="str">
        <x:v>Food</x:v>
      </x:c>
      <x:c r="D205" t="str">
        <x:v>Camden</x:v>
      </x:c>
      <x:c r="E205" s="4" t="n">
        <x:v>486.65</x:v>
      </x:c>
      <x:c r="F205" s="4" t="n">
        <x:v>500</x:v>
      </x:c>
      <x:c r="G205" t="str"/>
    </x:row>
    <x:row r="206">
      <x:c r="A206" s="2" t="n">
        <x:v>46143</x:v>
      </x:c>
      <x:c r="B206" t="str">
        <x:v>CleanPro Services</x:v>
      </x:c>
      <x:c r="C206" t="str">
        <x:v>Cleaning</x:v>
      </x:c>
      <x:c r="D206" t="str">
        <x:v>Soho</x:v>
      </x:c>
      <x:c r="E206" s="4" t="n">
        <x:v>1797.93</x:v>
      </x:c>
      <x:c r="F206" s="4" t="n">
        <x:v>1800</x:v>
      </x:c>
      <x:c r="G206" t="str"/>
    </x:row>
    <x:row r="207">
      <x:c r="A207" s="2" t="n">
        <x:v>46143</x:v>
      </x:c>
      <x:c r="B207" t="str">
        <x:v>CleanPro Services</x:v>
      </x:c>
      <x:c r="C207" t="str">
        <x:v>Cleaning</x:v>
      </x:c>
      <x:c r="D207" t="str">
        <x:v>Vauxhall</x:v>
      </x:c>
      <x:c r="E207" s="4" t="n">
        <x:v>1563.36</x:v>
      </x:c>
      <x:c r="F207" s="4" t="n">
        <x:v>1600</x:v>
      </x:c>
      <x:c r="G207" t="str"/>
    </x:row>
    <x:row r="208">
      <x:c r="A208" s="2" t="n">
        <x:v>46143</x:v>
      </x:c>
      <x:c r="B208" t="str">
        <x:v>CleanPro Services</x:v>
      </x:c>
      <x:c r="C208" t="str">
        <x:v>Cleaning</x:v>
      </x:c>
      <x:c r="D208" t="str">
        <x:v>Borough</x:v>
      </x:c>
      <x:c r="E208" s="4" t="n">
        <x:v>892.87</x:v>
      </x:c>
      <x:c r="F208" s="4" t="n">
        <x:v>900</x:v>
      </x:c>
      <x:c r="G208" t="str"/>
    </x:row>
    <x:row r="209">
      <x:c r="A209" s="2" t="n">
        <x:v>46143</x:v>
      </x:c>
      <x:c r="B209" t="str">
        <x:v>CleanPro Services</x:v>
      </x:c>
      <x:c r="C209" t="str">
        <x:v>Cleaning</x:v>
      </x:c>
      <x:c r="D209" t="str">
        <x:v>Camden</x:v>
      </x:c>
      <x:c r="E209" s="4" t="n">
        <x:v>1157.63</x:v>
      </x:c>
      <x:c r="F209" s="4" t="n">
        <x:v>1200</x:v>
      </x:c>
      <x:c r="G209" t="str"/>
    </x:row>
    <x:row r="210">
      <x:c r="A210" s="2" t="n">
        <x:v>46143</x:v>
      </x:c>
      <x:c r="B210" t="str">
        <x:v>London Linen</x:v>
      </x:c>
      <x:c r="C210" t="str">
        <x:v>Linen</x:v>
      </x:c>
      <x:c r="D210" t="str">
        <x:v>Soho</x:v>
      </x:c>
      <x:c r="E210" s="4" t="n">
        <x:v>1485.48</x:v>
      </x:c>
      <x:c r="F210" s="4" t="n">
        <x:v>1500</x:v>
      </x:c>
      <x:c r="G210" t="str"/>
    </x:row>
    <x:row r="211">
      <x:c r="A211" s="2" t="n">
        <x:v>46143</x:v>
      </x:c>
      <x:c r="B211" t="str">
        <x:v>London Linen</x:v>
      </x:c>
      <x:c r="C211" t="str">
        <x:v>Linen</x:v>
      </x:c>
      <x:c r="D211" t="str">
        <x:v>Vauxhall</x:v>
      </x:c>
      <x:c r="E211" s="4" t="n">
        <x:v>1454.35</x:v>
      </x:c>
      <x:c r="F211" s="4" t="n">
        <x:v>1400</x:v>
      </x:c>
      <x:c r="G211" t="str"/>
    </x:row>
    <x:row r="212">
      <x:c r="A212" s="2" t="n">
        <x:v>46143</x:v>
      </x:c>
      <x:c r="B212" t="str">
        <x:v>London Linen</x:v>
      </x:c>
      <x:c r="C212" t="str">
        <x:v>Linen</x:v>
      </x:c>
      <x:c r="D212" t="str">
        <x:v>Borough</x:v>
      </x:c>
      <x:c r="E212" s="4" t="n">
        <x:v>686.85</x:v>
      </x:c>
      <x:c r="F212" s="4" t="n">
        <x:v>700</x:v>
      </x:c>
      <x:c r="G212" t="str"/>
    </x:row>
    <x:row r="213">
      <x:c r="A213" s="2" t="n">
        <x:v>46143</x:v>
      </x:c>
      <x:c r="B213" t="str">
        <x:v>London Linen</x:v>
      </x:c>
      <x:c r="C213" t="str">
        <x:v>Linen</x:v>
      </x:c>
      <x:c r="D213" t="str">
        <x:v>Camden</x:v>
      </x:c>
      <x:c r="E213" s="4" t="n">
        <x:v>920.45</x:v>
      </x:c>
      <x:c r="F213" s="4" t="n">
        <x:v>900</x:v>
      </x:c>
      <x:c r="G213" t="str"/>
    </x:row>
    <x:row r="214">
      <x:c r="A214" s="2" t="n">
        <x:v>46143</x:v>
      </x:c>
      <x:c r="B214" t="str">
        <x:v>Rapid Repairs</x:v>
      </x:c>
      <x:c r="C214" t="str">
        <x:v>Maintenance</x:v>
      </x:c>
      <x:c r="D214" t="str">
        <x:v>Soho</x:v>
      </x:c>
      <x:c r="E214" s="4" t="n">
        <x:v>896.76</x:v>
      </x:c>
      <x:c r="F214" s="4" t="n">
        <x:v>900</x:v>
      </x:c>
      <x:c r="G214" t="str"/>
    </x:row>
    <x:row r="215">
      <x:c r="A215" s="2" t="n">
        <x:v>46143</x:v>
      </x:c>
      <x:c r="B215" t="str">
        <x:v>Rapid Repairs</x:v>
      </x:c>
      <x:c r="C215" t="str">
        <x:v>Maintenance</x:v>
      </x:c>
      <x:c r="D215" t="str">
        <x:v>Vauxhall</x:v>
      </x:c>
      <x:c r="E215" s="4" t="n">
        <x:v>1779.76</x:v>
      </x:c>
      <x:c r="F215" s="4" t="n">
        <x:v>850</x:v>
      </x:c>
      <x:c r="G215" t="str">
        <x:v>Repeated maintenance call-outs</x:v>
      </x:c>
    </x:row>
    <x:row r="216">
      <x:c r="A216" s="2" t="n">
        <x:v>46143</x:v>
      </x:c>
      <x:c r="B216" t="str">
        <x:v>Rapid Repairs</x:v>
      </x:c>
      <x:c r="C216" t="str">
        <x:v>Maintenance</x:v>
      </x:c>
      <x:c r="D216" t="str">
        <x:v>Borough</x:v>
      </x:c>
      <x:c r="E216" s="4" t="n">
        <x:v>518.29</x:v>
      </x:c>
      <x:c r="F216" s="4" t="n">
        <x:v>500</x:v>
      </x:c>
      <x:c r="G216" t="str"/>
    </x:row>
    <x:row r="217">
      <x:c r="A217" s="2" t="n">
        <x:v>46143</x:v>
      </x:c>
      <x:c r="B217" t="str">
        <x:v>Rapid Repairs</x:v>
      </x:c>
      <x:c r="C217" t="str">
        <x:v>Maintenance</x:v>
      </x:c>
      <x:c r="D217" t="str">
        <x:v>Camden</x:v>
      </x:c>
      <x:c r="E217" s="4" t="n">
        <x:v>675.76</x:v>
      </x:c>
      <x:c r="F217" s="4" t="n">
        <x:v>650</x:v>
      </x:c>
      <x:c r="G217" t="str"/>
    </x:row>
    <x:row r="218">
      <x:c r="A218" s="2" t="n">
        <x:v>46174</x:v>
      </x:c>
      <x:c r="B218" t="str">
        <x:v>Fresh Foods Ltd</x:v>
      </x:c>
      <x:c r="C218" t="str">
        <x:v>Food</x:v>
      </x:c>
      <x:c r="D218" t="str">
        <x:v>Soho</x:v>
      </x:c>
      <x:c r="E218" s="4" t="n">
        <x:v>9542.38</x:v>
      </x:c>
      <x:c r="F218" s="4" t="n">
        <x:v>9500</x:v>
      </x:c>
      <x:c r="G218" t="str"/>
    </x:row>
    <x:row r="219">
      <x:c r="A219" s="2" t="n">
        <x:v>46174</x:v>
      </x:c>
      <x:c r="B219" t="str">
        <x:v>Fresh Foods Ltd</x:v>
      </x:c>
      <x:c r="C219" t="str">
        <x:v>Food</x:v>
      </x:c>
      <x:c r="D219" t="str">
        <x:v>Vauxhall</x:v>
      </x:c>
      <x:c r="E219" s="4" t="n">
        <x:v>9491.28</x:v>
      </x:c>
      <x:c r="F219" s="4" t="n">
        <x:v>8200</x:v>
      </x:c>
      <x:c r="G219" t="str">
        <x:v>Spend increase vs baseline</x:v>
      </x:c>
    </x:row>
    <x:row r="220">
      <x:c r="A220" s="2" t="n">
        <x:v>46174</x:v>
      </x:c>
      <x:c r="B220" t="str">
        <x:v>Fresh Foods Ltd</x:v>
      </x:c>
      <x:c r="C220" t="str">
        <x:v>Food</x:v>
      </x:c>
      <x:c r="D220" t="str">
        <x:v>Borough</x:v>
      </x:c>
      <x:c r="E220" s="4" t="n">
        <x:v>4084.01</x:v>
      </x:c>
      <x:c r="F220" s="4" t="n">
        <x:v>4200</x:v>
      </x:c>
      <x:c r="G220" t="str"/>
    </x:row>
    <x:row r="221">
      <x:c r="A221" s="2" t="n">
        <x:v>46174</x:v>
      </x:c>
      <x:c r="B221" t="str">
        <x:v>Fresh Foods Ltd</x:v>
      </x:c>
      <x:c r="C221" t="str">
        <x:v>Food</x:v>
      </x:c>
      <x:c r="D221" t="str">
        <x:v>Camden</x:v>
      </x:c>
      <x:c r="E221" s="4" t="n">
        <x:v>1770.73</x:v>
      </x:c>
      <x:c r="F221" s="4" t="n">
        <x:v>1800</x:v>
      </x:c>
      <x:c r="G221" t="str"/>
    </x:row>
    <x:row r="222">
      <x:c r="A222" s="2" t="n">
        <x:v>46174</x:v>
      </x:c>
      <x:c r="B222" t="str">
        <x:v>City Beverages</x:v>
      </x:c>
      <x:c r="C222" t="str">
        <x:v>Beverage</x:v>
      </x:c>
      <x:c r="D222" t="str">
        <x:v>Soho</x:v>
      </x:c>
      <x:c r="E222" s="4" t="n">
        <x:v>7262.48</x:v>
      </x:c>
      <x:c r="F222" s="4" t="n">
        <x:v>7000</x:v>
      </x:c>
      <x:c r="G222" t="str"/>
    </x:row>
    <x:row r="223">
      <x:c r="A223" s="2" t="n">
        <x:v>46174</x:v>
      </x:c>
      <x:c r="B223" t="str">
        <x:v>City Beverages</x:v>
      </x:c>
      <x:c r="C223" t="str">
        <x:v>Beverage</x:v>
      </x:c>
      <x:c r="D223" t="str">
        <x:v>Vauxhall</x:v>
      </x:c>
      <x:c r="E223" s="4" t="n">
        <x:v>6239.27</x:v>
      </x:c>
      <x:c r="F223" s="4" t="n">
        <x:v>6200</x:v>
      </x:c>
      <x:c r="G223" t="str"/>
    </x:row>
    <x:row r="224">
      <x:c r="A224" s="2" t="n">
        <x:v>46174</x:v>
      </x:c>
      <x:c r="B224" t="str">
        <x:v>City Beverages</x:v>
      </x:c>
      <x:c r="C224" t="str">
        <x:v>Beverage</x:v>
      </x:c>
      <x:c r="D224" t="str">
        <x:v>Borough</x:v>
      </x:c>
      <x:c r="E224" s="4" t="n">
        <x:v>2608.78</x:v>
      </x:c>
      <x:c r="F224" s="4" t="n">
        <x:v>2600</x:v>
      </x:c>
      <x:c r="G224" t="str"/>
    </x:row>
    <x:row r="225">
      <x:c r="A225" s="2" t="n">
        <x:v>46174</x:v>
      </x:c>
      <x:c r="B225" t="str">
        <x:v>City Beverages</x:v>
      </x:c>
      <x:c r="C225" t="str">
        <x:v>Beverage</x:v>
      </x:c>
      <x:c r="D225" t="str">
        <x:v>Camden</x:v>
      </x:c>
      <x:c r="E225" s="4" t="n">
        <x:v>9898.54</x:v>
      </x:c>
      <x:c r="F225" s="4" t="n">
        <x:v>9000</x:v>
      </x:c>
      <x:c r="G225" t="str">
        <x:v>Spend increase vs baseline</x:v>
      </x:c>
    </x:row>
    <x:row r="226">
      <x:c r="A226" s="2" t="n">
        <x:v>46174</x:v>
      </x:c>
      <x:c r="B226" t="str">
        <x:v>Prime Meat Co</x:v>
      </x:c>
      <x:c r="C226" t="str">
        <x:v>Food</x:v>
      </x:c>
      <x:c r="D226" t="str">
        <x:v>Soho</x:v>
      </x:c>
      <x:c r="E226" s="4" t="n">
        <x:v>5787.44</x:v>
      </x:c>
      <x:c r="F226" s="4" t="n">
        <x:v>6000</x:v>
      </x:c>
      <x:c r="G226" t="str"/>
    </x:row>
    <x:row r="227">
      <x:c r="A227" s="2" t="n">
        <x:v>46174</x:v>
      </x:c>
      <x:c r="B227" t="str">
        <x:v>Prime Meat Co</x:v>
      </x:c>
      <x:c r="C227" t="str">
        <x:v>Food</x:v>
      </x:c>
      <x:c r="D227" t="str">
        <x:v>Vauxhall</x:v>
      </x:c>
      <x:c r="E227" s="4" t="n">
        <x:v>5235.02</x:v>
      </x:c>
      <x:c r="F227" s="4" t="n">
        <x:v>5200</x:v>
      </x:c>
      <x:c r="G227" t="str"/>
    </x:row>
    <x:row r="228">
      <x:c r="A228" s="2" t="n">
        <x:v>46174</x:v>
      </x:c>
      <x:c r="B228" t="str">
        <x:v>Prime Meat Co</x:v>
      </x:c>
      <x:c r="C228" t="str">
        <x:v>Food</x:v>
      </x:c>
      <x:c r="D228" t="str">
        <x:v>Borough</x:v>
      </x:c>
      <x:c r="E228" s="4" t="n">
        <x:v>1500.34</x:v>
      </x:c>
      <x:c r="F228" s="4" t="n">
        <x:v>1500</x:v>
      </x:c>
      <x:c r="G228" t="str"/>
    </x:row>
    <x:row r="229">
      <x:c r="A229" s="2" t="n">
        <x:v>46174</x:v>
      </x:c>
      <x:c r="B229" t="str">
        <x:v>Prime Meat Co</x:v>
      </x:c>
      <x:c r="C229" t="str">
        <x:v>Food</x:v>
      </x:c>
      <x:c r="D229" t="str">
        <x:v>Camden</x:v>
      </x:c>
      <x:c r="E229" s="4" t="n">
        <x:v>514.11</x:v>
      </x:c>
      <x:c r="F229" s="4" t="n">
        <x:v>500</x:v>
      </x:c>
      <x:c r="G229" t="str"/>
    </x:row>
    <x:row r="230">
      <x:c r="A230" s="2" t="n">
        <x:v>46174</x:v>
      </x:c>
      <x:c r="B230" t="str">
        <x:v>CleanPro Services</x:v>
      </x:c>
      <x:c r="C230" t="str">
        <x:v>Cleaning</x:v>
      </x:c>
      <x:c r="D230" t="str">
        <x:v>Soho</x:v>
      </x:c>
      <x:c r="E230" s="4" t="n">
        <x:v>1750.67</x:v>
      </x:c>
      <x:c r="F230" s="4" t="n">
        <x:v>1800</x:v>
      </x:c>
      <x:c r="G230" t="str"/>
    </x:row>
    <x:row r="231">
      <x:c r="A231" s="2" t="n">
        <x:v>46174</x:v>
      </x:c>
      <x:c r="B231" t="str">
        <x:v>CleanPro Services</x:v>
      </x:c>
      <x:c r="C231" t="str">
        <x:v>Cleaning</x:v>
      </x:c>
      <x:c r="D231" t="str">
        <x:v>Vauxhall</x:v>
      </x:c>
      <x:c r="E231" s="4" t="n">
        <x:v>1658.98</x:v>
      </x:c>
      <x:c r="F231" s="4" t="n">
        <x:v>1600</x:v>
      </x:c>
      <x:c r="G231" t="str"/>
    </x:row>
    <x:row r="232">
      <x:c r="A232" s="2" t="n">
        <x:v>46174</x:v>
      </x:c>
      <x:c r="B232" t="str">
        <x:v>CleanPro Services</x:v>
      </x:c>
      <x:c r="C232" t="str">
        <x:v>Cleaning</x:v>
      </x:c>
      <x:c r="D232" t="str">
        <x:v>Borough</x:v>
      </x:c>
      <x:c r="E232" s="4" t="n">
        <x:v>869.77</x:v>
      </x:c>
      <x:c r="F232" s="4" t="n">
        <x:v>900</x:v>
      </x:c>
      <x:c r="G232" t="str"/>
    </x:row>
    <x:row r="233">
      <x:c r="A233" s="2" t="n">
        <x:v>46174</x:v>
      </x:c>
      <x:c r="B233" t="str">
        <x:v>CleanPro Services</x:v>
      </x:c>
      <x:c r="C233" t="str">
        <x:v>Cleaning</x:v>
      </x:c>
      <x:c r="D233" t="str">
        <x:v>Camden</x:v>
      </x:c>
      <x:c r="E233" s="4" t="n">
        <x:v>1169.84</x:v>
      </x:c>
      <x:c r="F233" s="4" t="n">
        <x:v>1200</x:v>
      </x:c>
      <x:c r="G233" t="str"/>
    </x:row>
    <x:row r="234">
      <x:c r="A234" s="2" t="n">
        <x:v>46174</x:v>
      </x:c>
      <x:c r="B234" t="str">
        <x:v>London Linen</x:v>
      </x:c>
      <x:c r="C234" t="str">
        <x:v>Linen</x:v>
      </x:c>
      <x:c r="D234" t="str">
        <x:v>Soho</x:v>
      </x:c>
      <x:c r="E234" s="4" t="n">
        <x:v>1511.4</x:v>
      </x:c>
      <x:c r="F234" s="4" t="n">
        <x:v>1500</x:v>
      </x:c>
      <x:c r="G234" t="str"/>
    </x:row>
    <x:row r="235">
      <x:c r="A235" s="2" t="n">
        <x:v>46174</x:v>
      </x:c>
      <x:c r="B235" t="str">
        <x:v>London Linen</x:v>
      </x:c>
      <x:c r="C235" t="str">
        <x:v>Linen</x:v>
      </x:c>
      <x:c r="D235" t="str">
        <x:v>Vauxhall</x:v>
      </x:c>
      <x:c r="E235" s="4" t="n">
        <x:v>1419.62</x:v>
      </x:c>
      <x:c r="F235" s="4" t="n">
        <x:v>1400</x:v>
      </x:c>
      <x:c r="G235" t="str"/>
    </x:row>
    <x:row r="236">
      <x:c r="A236" s="2" t="n">
        <x:v>46174</x:v>
      </x:c>
      <x:c r="B236" t="str">
        <x:v>London Linen</x:v>
      </x:c>
      <x:c r="C236" t="str">
        <x:v>Linen</x:v>
      </x:c>
      <x:c r="D236" t="str">
        <x:v>Borough</x:v>
      </x:c>
      <x:c r="E236" s="4" t="n">
        <x:v>685.17</x:v>
      </x:c>
      <x:c r="F236" s="4" t="n">
        <x:v>700</x:v>
      </x:c>
      <x:c r="G236" t="str"/>
    </x:row>
    <x:row r="237">
      <x:c r="A237" s="2" t="n">
        <x:v>46174</x:v>
      </x:c>
      <x:c r="B237" t="str">
        <x:v>London Linen</x:v>
      </x:c>
      <x:c r="C237" t="str">
        <x:v>Linen</x:v>
      </x:c>
      <x:c r="D237" t="str">
        <x:v>Camden</x:v>
      </x:c>
      <x:c r="E237" s="4" t="n">
        <x:v>872.63</x:v>
      </x:c>
      <x:c r="F237" s="4" t="n">
        <x:v>900</x:v>
      </x:c>
      <x:c r="G237" t="str"/>
    </x:row>
    <x:row r="238">
      <x:c r="A238" s="2" t="n">
        <x:v>46174</x:v>
      </x:c>
      <x:c r="B238" t="str">
        <x:v>Rapid Repairs</x:v>
      </x:c>
      <x:c r="C238" t="str">
        <x:v>Maintenance</x:v>
      </x:c>
      <x:c r="D238" t="str">
        <x:v>Soho</x:v>
      </x:c>
      <x:c r="E238" s="4" t="n">
        <x:v>928.1</x:v>
      </x:c>
      <x:c r="F238" s="4" t="n">
        <x:v>900</x:v>
      </x:c>
      <x:c r="G238" t="str"/>
    </x:row>
    <x:row r="239">
      <x:c r="A239" s="2" t="n">
        <x:v>46174</x:v>
      </x:c>
      <x:c r="B239" t="str">
        <x:v>Rapid Repairs</x:v>
      </x:c>
      <x:c r="C239" t="str">
        <x:v>Maintenance</x:v>
      </x:c>
      <x:c r="D239" t="str">
        <x:v>Vauxhall</x:v>
      </x:c>
      <x:c r="E239" s="4" t="n">
        <x:v>1767.74</x:v>
      </x:c>
      <x:c r="F239" s="4" t="n">
        <x:v>850</x:v>
      </x:c>
      <x:c r="G239" t="str">
        <x:v>Repeated maintenance call-outs</x:v>
      </x:c>
    </x:row>
    <x:row r="240">
      <x:c r="A240" s="2" t="n">
        <x:v>46174</x:v>
      </x:c>
      <x:c r="B240" t="str">
        <x:v>Rapid Repairs</x:v>
      </x:c>
      <x:c r="C240" t="str">
        <x:v>Maintenance</x:v>
      </x:c>
      <x:c r="D240" t="str">
        <x:v>Borough</x:v>
      </x:c>
      <x:c r="E240" s="4" t="n">
        <x:v>503.78</x:v>
      </x:c>
      <x:c r="F240" s="4" t="n">
        <x:v>500</x:v>
      </x:c>
      <x:c r="G240" t="str"/>
    </x:row>
    <x:row r="241">
      <x:c r="A241" s="2" t="n">
        <x:v>46174</x:v>
      </x:c>
      <x:c r="B241" t="str">
        <x:v>Rapid Repairs</x:v>
      </x:c>
      <x:c r="C241" t="str">
        <x:v>Maintenance</x:v>
      </x:c>
      <x:c r="D241" t="str">
        <x:v>Camden</x:v>
      </x:c>
      <x:c r="E241" s="4" t="n">
        <x:v>656.21</x:v>
      </x:c>
      <x:c r="F241" s="4" t="n">
        <x:v>650</x:v>
      </x:c>
      <x:c r="G241" t="str"/>
    </x:row>
    <x:row r="242">
      <x:c r="A242" s="2" t="n">
        <x:v>46204</x:v>
      </x:c>
      <x:c r="B242" t="str">
        <x:v>Fresh Foods Ltd</x:v>
      </x:c>
      <x:c r="C242" t="str">
        <x:v>Food</x:v>
      </x:c>
      <x:c r="D242" t="str">
        <x:v>Soho</x:v>
      </x:c>
      <x:c r="E242" s="4" t="n">
        <x:v>9438.61</x:v>
      </x:c>
      <x:c r="F242" s="4" t="n">
        <x:v>9500</x:v>
      </x:c>
      <x:c r="G242" t="str"/>
    </x:row>
    <x:row r="243">
      <x:c r="A243" s="2" t="n">
        <x:v>46204</x:v>
      </x:c>
      <x:c r="B243" t="str">
        <x:v>Fresh Foods Ltd</x:v>
      </x:c>
      <x:c r="C243" t="str">
        <x:v>Food</x:v>
      </x:c>
      <x:c r="D243" t="str">
        <x:v>Vauxhall</x:v>
      </x:c>
      <x:c r="E243" s="4" t="n">
        <x:v>9402.89</x:v>
      </x:c>
      <x:c r="F243" s="4" t="n">
        <x:v>8200</x:v>
      </x:c>
      <x:c r="G243" t="str">
        <x:v>Spend increase vs baseline</x:v>
      </x:c>
    </x:row>
    <x:row r="244">
      <x:c r="A244" s="2" t="n">
        <x:v>46204</x:v>
      </x:c>
      <x:c r="B244" t="str">
        <x:v>Fresh Foods Ltd</x:v>
      </x:c>
      <x:c r="C244" t="str">
        <x:v>Food</x:v>
      </x:c>
      <x:c r="D244" t="str">
        <x:v>Borough</x:v>
      </x:c>
      <x:c r="E244" s="4" t="n">
        <x:v>4207.65</x:v>
      </x:c>
      <x:c r="F244" s="4" t="n">
        <x:v>4200</x:v>
      </x:c>
      <x:c r="G244" t="str"/>
    </x:row>
    <x:row r="245">
      <x:c r="A245" s="2" t="n">
        <x:v>46204</x:v>
      </x:c>
      <x:c r="B245" t="str">
        <x:v>Fresh Foods Ltd</x:v>
      </x:c>
      <x:c r="C245" t="str">
        <x:v>Food</x:v>
      </x:c>
      <x:c r="D245" t="str">
        <x:v>Camden</x:v>
      </x:c>
      <x:c r="E245" s="4" t="n">
        <x:v>1862.6</x:v>
      </x:c>
      <x:c r="F245" s="4" t="n">
        <x:v>1800</x:v>
      </x:c>
      <x:c r="G245" t="str"/>
    </x:row>
    <x:row r="246">
      <x:c r="A246" s="2" t="n">
        <x:v>46204</x:v>
      </x:c>
      <x:c r="B246" t="str">
        <x:v>City Beverages</x:v>
      </x:c>
      <x:c r="C246" t="str">
        <x:v>Beverage</x:v>
      </x:c>
      <x:c r="D246" t="str">
        <x:v>Soho</x:v>
      </x:c>
      <x:c r="E246" s="4" t="n">
        <x:v>6834.39</x:v>
      </x:c>
      <x:c r="F246" s="4" t="n">
        <x:v>7000</x:v>
      </x:c>
      <x:c r="G246" t="str"/>
    </x:row>
    <x:row r="247">
      <x:c r="A247" s="2" t="n">
        <x:v>46204</x:v>
      </x:c>
      <x:c r="B247" t="str">
        <x:v>City Beverages</x:v>
      </x:c>
      <x:c r="C247" t="str">
        <x:v>Beverage</x:v>
      </x:c>
      <x:c r="D247" t="str">
        <x:v>Vauxhall</x:v>
      </x:c>
      <x:c r="E247" s="4" t="n">
        <x:v>6307.23</x:v>
      </x:c>
      <x:c r="F247" s="4" t="n">
        <x:v>6200</x:v>
      </x:c>
      <x:c r="G247" t="str"/>
    </x:row>
    <x:row r="248">
      <x:c r="A248" s="2" t="n">
        <x:v>46204</x:v>
      </x:c>
      <x:c r="B248" t="str">
        <x:v>City Beverages</x:v>
      </x:c>
      <x:c r="C248" t="str">
        <x:v>Beverage</x:v>
      </x:c>
      <x:c r="D248" t="str">
        <x:v>Borough</x:v>
      </x:c>
      <x:c r="E248" s="4" t="n">
        <x:v>2545.65</x:v>
      </x:c>
      <x:c r="F248" s="4" t="n">
        <x:v>2600</x:v>
      </x:c>
      <x:c r="G248" t="str"/>
    </x:row>
    <x:row r="249">
      <x:c r="A249" s="2" t="n">
        <x:v>46204</x:v>
      </x:c>
      <x:c r="B249" t="str">
        <x:v>City Beverages</x:v>
      </x:c>
      <x:c r="C249" t="str">
        <x:v>Beverage</x:v>
      </x:c>
      <x:c r="D249" t="str">
        <x:v>Camden</x:v>
      </x:c>
      <x:c r="E249" s="4" t="n">
        <x:v>9644.97</x:v>
      </x:c>
      <x:c r="F249" s="4" t="n">
        <x:v>9000</x:v>
      </x:c>
      <x:c r="G249" t="str">
        <x:v>Spend increase vs baseline</x:v>
      </x:c>
    </x:row>
    <x:row r="250">
      <x:c r="A250" s="2" t="n">
        <x:v>46204</x:v>
      </x:c>
      <x:c r="B250" t="str">
        <x:v>Prime Meat Co</x:v>
      </x:c>
      <x:c r="C250" t="str">
        <x:v>Food</x:v>
      </x:c>
      <x:c r="D250" t="str">
        <x:v>Soho</x:v>
      </x:c>
      <x:c r="E250" s="4" t="n">
        <x:v>6082.41</x:v>
      </x:c>
      <x:c r="F250" s="4" t="n">
        <x:v>6000</x:v>
      </x:c>
      <x:c r="G250" t="str"/>
    </x:row>
    <x:row r="251">
      <x:c r="A251" s="2" t="n">
        <x:v>46204</x:v>
      </x:c>
      <x:c r="B251" t="str">
        <x:v>Prime Meat Co</x:v>
      </x:c>
      <x:c r="C251" t="str">
        <x:v>Food</x:v>
      </x:c>
      <x:c r="D251" t="str">
        <x:v>Vauxhall</x:v>
      </x:c>
      <x:c r="E251" s="4" t="n">
        <x:v>5116.8</x:v>
      </x:c>
      <x:c r="F251" s="4" t="n">
        <x:v>5200</x:v>
      </x:c>
      <x:c r="G251" t="str"/>
    </x:row>
    <x:row r="252">
      <x:c r="A252" s="2" t="n">
        <x:v>46204</x:v>
      </x:c>
      <x:c r="B252" t="str">
        <x:v>Prime Meat Co</x:v>
      </x:c>
      <x:c r="C252" t="str">
        <x:v>Food</x:v>
      </x:c>
      <x:c r="D252" t="str">
        <x:v>Borough</x:v>
      </x:c>
      <x:c r="E252" s="4" t="n">
        <x:v>1477.94</x:v>
      </x:c>
      <x:c r="F252" s="4" t="n">
        <x:v>1500</x:v>
      </x:c>
      <x:c r="G252" t="str"/>
    </x:row>
    <x:row r="253">
      <x:c r="A253" s="2" t="n">
        <x:v>46204</x:v>
      </x:c>
      <x:c r="B253" t="str">
        <x:v>Prime Meat Co</x:v>
      </x:c>
      <x:c r="C253" t="str">
        <x:v>Food</x:v>
      </x:c>
      <x:c r="D253" t="str">
        <x:v>Camden</x:v>
      </x:c>
      <x:c r="E253" s="4" t="n">
        <x:v>510.07</x:v>
      </x:c>
      <x:c r="F253" s="4" t="n">
        <x:v>500</x:v>
      </x:c>
      <x:c r="G253" t="str"/>
    </x:row>
    <x:row r="254">
      <x:c r="A254" s="2" t="n">
        <x:v>46204</x:v>
      </x:c>
      <x:c r="B254" t="str">
        <x:v>CleanPro Services</x:v>
      </x:c>
      <x:c r="C254" t="str">
        <x:v>Cleaning</x:v>
      </x:c>
      <x:c r="D254" t="str">
        <x:v>Soho</x:v>
      </x:c>
      <x:c r="E254" s="4" t="n">
        <x:v>1738.45</x:v>
      </x:c>
      <x:c r="F254" s="4" t="n">
        <x:v>1800</x:v>
      </x:c>
      <x:c r="G254" t="str"/>
    </x:row>
    <x:row r="255">
      <x:c r="A255" s="2" t="n">
        <x:v>46204</x:v>
      </x:c>
      <x:c r="B255" t="str">
        <x:v>CleanPro Services</x:v>
      </x:c>
      <x:c r="C255" t="str">
        <x:v>Cleaning</x:v>
      </x:c>
      <x:c r="D255" t="str">
        <x:v>Vauxhall</x:v>
      </x:c>
      <x:c r="E255" s="4" t="n">
        <x:v>1594.66</x:v>
      </x:c>
      <x:c r="F255" s="4" t="n">
        <x:v>1600</x:v>
      </x:c>
      <x:c r="G255" t="str"/>
    </x:row>
    <x:row r="256">
      <x:c r="A256" s="2" t="n">
        <x:v>46204</x:v>
      </x:c>
      <x:c r="B256" t="str">
        <x:v>CleanPro Services</x:v>
      </x:c>
      <x:c r="C256" t="str">
        <x:v>Cleaning</x:v>
      </x:c>
      <x:c r="D256" t="str">
        <x:v>Borough</x:v>
      </x:c>
      <x:c r="E256" s="4" t="n">
        <x:v>935.89</x:v>
      </x:c>
      <x:c r="F256" s="4" t="n">
        <x:v>900</x:v>
      </x:c>
      <x:c r="G256" t="str"/>
    </x:row>
    <x:row r="257">
      <x:c r="A257" s="2" t="n">
        <x:v>46204</x:v>
      </x:c>
      <x:c r="B257" t="str">
        <x:v>CleanPro Services</x:v>
      </x:c>
      <x:c r="C257" t="str">
        <x:v>Cleaning</x:v>
      </x:c>
      <x:c r="D257" t="str">
        <x:v>Camden</x:v>
      </x:c>
      <x:c r="E257" s="4" t="n">
        <x:v>1247.63</x:v>
      </x:c>
      <x:c r="F257" s="4" t="n">
        <x:v>1200</x:v>
      </x:c>
      <x:c r="G257" t="str"/>
    </x:row>
    <x:row r="258">
      <x:c r="A258" s="2" t="n">
        <x:v>46204</x:v>
      </x:c>
      <x:c r="B258" t="str">
        <x:v>London Linen</x:v>
      </x:c>
      <x:c r="C258" t="str">
        <x:v>Linen</x:v>
      </x:c>
      <x:c r="D258" t="str">
        <x:v>Soho</x:v>
      </x:c>
      <x:c r="E258" s="4" t="n">
        <x:v>1448.79</x:v>
      </x:c>
      <x:c r="F258" s="4" t="n">
        <x:v>1500</x:v>
      </x:c>
      <x:c r="G258" t="str"/>
    </x:row>
    <x:row r="259">
      <x:c r="A259" s="2" t="n">
        <x:v>46204</x:v>
      </x:c>
      <x:c r="B259" t="str">
        <x:v>London Linen</x:v>
      </x:c>
      <x:c r="C259" t="str">
        <x:v>Linen</x:v>
      </x:c>
      <x:c r="D259" t="str">
        <x:v>Vauxhall</x:v>
      </x:c>
      <x:c r="E259" s="4" t="n">
        <x:v>1367.87</x:v>
      </x:c>
      <x:c r="F259" s="4" t="n">
        <x:v>1400</x:v>
      </x:c>
      <x:c r="G259" t="str"/>
    </x:row>
    <x:row r="260">
      <x:c r="A260" s="2" t="n">
        <x:v>46204</x:v>
      </x:c>
      <x:c r="B260" t="str">
        <x:v>London Linen</x:v>
      </x:c>
      <x:c r="C260" t="str">
        <x:v>Linen</x:v>
      </x:c>
      <x:c r="D260" t="str">
        <x:v>Borough</x:v>
      </x:c>
      <x:c r="E260" s="4" t="n">
        <x:v>686.85</x:v>
      </x:c>
      <x:c r="F260" s="4" t="n">
        <x:v>700</x:v>
      </x:c>
      <x:c r="G260" t="str"/>
    </x:row>
    <x:row r="261">
      <x:c r="A261" s="2" t="n">
        <x:v>46204</x:v>
      </x:c>
      <x:c r="B261" t="str">
        <x:v>London Linen</x:v>
      </x:c>
      <x:c r="C261" t="str">
        <x:v>Linen</x:v>
      </x:c>
      <x:c r="D261" t="str">
        <x:v>Camden</x:v>
      </x:c>
      <x:c r="E261" s="4" t="n">
        <x:v>931.19</x:v>
      </x:c>
      <x:c r="F261" s="4" t="n">
        <x:v>900</x:v>
      </x:c>
      <x:c r="G261" t="str"/>
    </x:row>
    <x:row r="262">
      <x:c r="A262" s="2" t="n">
        <x:v>46204</x:v>
      </x:c>
      <x:c r="B262" t="str">
        <x:v>Rapid Repairs</x:v>
      </x:c>
      <x:c r="C262" t="str">
        <x:v>Maintenance</x:v>
      </x:c>
      <x:c r="D262" t="str">
        <x:v>Soho</x:v>
      </x:c>
      <x:c r="E262" s="4" t="n">
        <x:v>927.42</x:v>
      </x:c>
      <x:c r="F262" s="4" t="n">
        <x:v>900</x:v>
      </x:c>
      <x:c r="G262" t="str"/>
    </x:row>
    <x:row r="263">
      <x:c r="A263" s="2" t="n">
        <x:v>46204</x:v>
      </x:c>
      <x:c r="B263" t="str">
        <x:v>Rapid Repairs</x:v>
      </x:c>
      <x:c r="C263" t="str">
        <x:v>Maintenance</x:v>
      </x:c>
      <x:c r="D263" t="str">
        <x:v>Vauxhall</x:v>
      </x:c>
      <x:c r="E263" s="4" t="n">
        <x:v>875.79</x:v>
      </x:c>
      <x:c r="F263" s="4" t="n">
        <x:v>850</x:v>
      </x:c>
      <x:c r="G263" t="str"/>
    </x:row>
    <x:row r="264">
      <x:c r="A264" s="2" t="n">
        <x:v>46204</x:v>
      </x:c>
      <x:c r="B264" t="str">
        <x:v>Rapid Repairs</x:v>
      </x:c>
      <x:c r="C264" t="str">
        <x:v>Maintenance</x:v>
      </x:c>
      <x:c r="D264" t="str">
        <x:v>Borough</x:v>
      </x:c>
      <x:c r="E264" s="4" t="n">
        <x:v>494.78</x:v>
      </x:c>
      <x:c r="F264" s="4" t="n">
        <x:v>500</x:v>
      </x:c>
      <x:c r="G264" t="str"/>
    </x:row>
    <x:row r="265">
      <x:c r="A265" s="2" t="n">
        <x:v>46204</x:v>
      </x:c>
      <x:c r="B265" t="str">
        <x:v>Rapid Repairs</x:v>
      </x:c>
      <x:c r="C265" t="str">
        <x:v>Maintenance</x:v>
      </x:c>
      <x:c r="D265" t="str">
        <x:v>Camden</x:v>
      </x:c>
      <x:c r="E265" s="4" t="n">
        <x:v>632.2</x:v>
      </x:c>
      <x:c r="F265" s="4" t="n">
        <x:v>650</x:v>
      </x:c>
      <x:c r="G265" t="str"/>
    </x:row>
    <x:row r="266">
      <x:c r="A266" s="2" t="n">
        <x:v>46235</x:v>
      </x:c>
      <x:c r="B266" t="str">
        <x:v>Fresh Foods Ltd</x:v>
      </x:c>
      <x:c r="C266" t="str">
        <x:v>Food</x:v>
      </x:c>
      <x:c r="D266" t="str">
        <x:v>Soho</x:v>
      </x:c>
      <x:c r="E266" s="4" t="n">
        <x:v>9753.65</x:v>
      </x:c>
      <x:c r="F266" s="4" t="n">
        <x:v>9500</x:v>
      </x:c>
      <x:c r="G266" t="str"/>
    </x:row>
    <x:row r="267">
      <x:c r="A267" s="2" t="n">
        <x:v>46235</x:v>
      </x:c>
      <x:c r="B267" t="str">
        <x:v>Fresh Foods Ltd</x:v>
      </x:c>
      <x:c r="C267" t="str">
        <x:v>Food</x:v>
      </x:c>
      <x:c r="D267" t="str">
        <x:v>Vauxhall</x:v>
      </x:c>
      <x:c r="E267" s="4" t="n">
        <x:v>9481.52</x:v>
      </x:c>
      <x:c r="F267" s="4" t="n">
        <x:v>8200</x:v>
      </x:c>
      <x:c r="G267" t="str">
        <x:v>Spend increase vs baseline</x:v>
      </x:c>
    </x:row>
    <x:row r="268">
      <x:c r="A268" s="2" t="n">
        <x:v>46235</x:v>
      </x:c>
      <x:c r="B268" t="str">
        <x:v>Fresh Foods Ltd</x:v>
      </x:c>
      <x:c r="C268" t="str">
        <x:v>Food</x:v>
      </x:c>
      <x:c r="D268" t="str">
        <x:v>Borough</x:v>
      </x:c>
      <x:c r="E268" s="4" t="n">
        <x:v>4237.52</x:v>
      </x:c>
      <x:c r="F268" s="4" t="n">
        <x:v>4200</x:v>
      </x:c>
      <x:c r="G268" t="str"/>
    </x:row>
    <x:row r="269">
      <x:c r="A269" s="2" t="n">
        <x:v>46235</x:v>
      </x:c>
      <x:c r="B269" t="str">
        <x:v>Fresh Foods Ltd</x:v>
      </x:c>
      <x:c r="C269" t="str">
        <x:v>Food</x:v>
      </x:c>
      <x:c r="D269" t="str">
        <x:v>Camden</x:v>
      </x:c>
      <x:c r="E269" s="4" t="n">
        <x:v>1870.16</x:v>
      </x:c>
      <x:c r="F269" s="4" t="n">
        <x:v>1800</x:v>
      </x:c>
      <x:c r="G269" t="str"/>
    </x:row>
    <x:row r="270">
      <x:c r="A270" s="2" t="n">
        <x:v>46235</x:v>
      </x:c>
      <x:c r="B270" t="str">
        <x:v>City Beverages</x:v>
      </x:c>
      <x:c r="C270" t="str">
        <x:v>Beverage</x:v>
      </x:c>
      <x:c r="D270" t="str">
        <x:v>Soho</x:v>
      </x:c>
      <x:c r="E270" s="4" t="n">
        <x:v>7086.23</x:v>
      </x:c>
      <x:c r="F270" s="4" t="n">
        <x:v>7000</x:v>
      </x:c>
      <x:c r="G270" t="str"/>
    </x:row>
    <x:row r="271">
      <x:c r="A271" s="2" t="n">
        <x:v>46235</x:v>
      </x:c>
      <x:c r="B271" t="str">
        <x:v>City Beverages</x:v>
      </x:c>
      <x:c r="C271" t="str">
        <x:v>Beverage</x:v>
      </x:c>
      <x:c r="D271" t="str">
        <x:v>Vauxhall</x:v>
      </x:c>
      <x:c r="E271" s="4" t="n">
        <x:v>5955.88</x:v>
      </x:c>
      <x:c r="F271" s="4" t="n">
        <x:v>6200</x:v>
      </x:c>
      <x:c r="G271" t="str"/>
    </x:row>
    <x:row r="272">
      <x:c r="A272" s="2" t="n">
        <x:v>46235</x:v>
      </x:c>
      <x:c r="B272" t="str">
        <x:v>City Beverages</x:v>
      </x:c>
      <x:c r="C272" t="str">
        <x:v>Beverage</x:v>
      </x:c>
      <x:c r="D272" t="str">
        <x:v>Borough</x:v>
      </x:c>
      <x:c r="E272" s="4" t="n">
        <x:v>2665.96</x:v>
      </x:c>
      <x:c r="F272" s="4" t="n">
        <x:v>2600</x:v>
      </x:c>
      <x:c r="G272" t="str"/>
    </x:row>
    <x:row r="273">
      <x:c r="A273" s="2" t="n">
        <x:v>46235</x:v>
      </x:c>
      <x:c r="B273" t="str">
        <x:v>City Beverages</x:v>
      </x:c>
      <x:c r="C273" t="str">
        <x:v>Beverage</x:v>
      </x:c>
      <x:c r="D273" t="str">
        <x:v>Camden</x:v>
      </x:c>
      <x:c r="E273" s="4" t="n">
        <x:v>9575.55</x:v>
      </x:c>
      <x:c r="F273" s="4" t="n">
        <x:v>9000</x:v>
      </x:c>
      <x:c r="G273" t="str">
        <x:v>Spend increase vs baseline</x:v>
      </x:c>
    </x:row>
    <x:row r="274">
      <x:c r="A274" s="2" t="n">
        <x:v>46235</x:v>
      </x:c>
      <x:c r="B274" t="str">
        <x:v>Prime Meat Co</x:v>
      </x:c>
      <x:c r="C274" t="str">
        <x:v>Food</x:v>
      </x:c>
      <x:c r="D274" t="str">
        <x:v>Soho</x:v>
      </x:c>
      <x:c r="E274" s="4" t="n">
        <x:v>6078.43</x:v>
      </x:c>
      <x:c r="F274" s="4" t="n">
        <x:v>6000</x:v>
      </x:c>
      <x:c r="G274" t="str"/>
    </x:row>
    <x:row r="275">
      <x:c r="A275" s="2" t="n">
        <x:v>46235</x:v>
      </x:c>
      <x:c r="B275" t="str">
        <x:v>Prime Meat Co</x:v>
      </x:c>
      <x:c r="C275" t="str">
        <x:v>Food</x:v>
      </x:c>
      <x:c r="D275" t="str">
        <x:v>Vauxhall</x:v>
      </x:c>
      <x:c r="E275" s="4" t="n">
        <x:v>5382.59</x:v>
      </x:c>
      <x:c r="F275" s="4" t="n">
        <x:v>5200</x:v>
      </x:c>
      <x:c r="G275" t="str"/>
    </x:row>
    <x:row r="276">
      <x:c r="A276" s="2" t="n">
        <x:v>46235</x:v>
      </x:c>
      <x:c r="B276" t="str">
        <x:v>Prime Meat Co</x:v>
      </x:c>
      <x:c r="C276" t="str">
        <x:v>Food</x:v>
      </x:c>
      <x:c r="D276" t="str">
        <x:v>Borough</x:v>
      </x:c>
      <x:c r="E276" s="4" t="n">
        <x:v>1456.11</x:v>
      </x:c>
      <x:c r="F276" s="4" t="n">
        <x:v>1500</x:v>
      </x:c>
      <x:c r="G276" t="str"/>
    </x:row>
    <x:row r="277">
      <x:c r="A277" s="2" t="n">
        <x:v>46235</x:v>
      </x:c>
      <x:c r="B277" t="str">
        <x:v>Prime Meat Co</x:v>
      </x:c>
      <x:c r="C277" t="str">
        <x:v>Food</x:v>
      </x:c>
      <x:c r="D277" t="str">
        <x:v>Camden</x:v>
      </x:c>
      <x:c r="E277" s="4" t="n">
        <x:v>484.62</x:v>
      </x:c>
      <x:c r="F277" s="4" t="n">
        <x:v>500</x:v>
      </x:c>
      <x:c r="G277" t="str"/>
    </x:row>
    <x:row r="278">
      <x:c r="A278" s="2" t="n">
        <x:v>46235</x:v>
      </x:c>
      <x:c r="B278" t="str">
        <x:v>CleanPro Services</x:v>
      </x:c>
      <x:c r="C278" t="str">
        <x:v>Cleaning</x:v>
      </x:c>
      <x:c r="D278" t="str">
        <x:v>Soho</x:v>
      </x:c>
      <x:c r="E278" s="4" t="n">
        <x:v>1743.41</x:v>
      </x:c>
      <x:c r="F278" s="4" t="n">
        <x:v>1800</x:v>
      </x:c>
      <x:c r="G278" t="str"/>
    </x:row>
    <x:row r="279">
      <x:c r="A279" s="2" t="n">
        <x:v>46235</x:v>
      </x:c>
      <x:c r="B279" t="str">
        <x:v>CleanPro Services</x:v>
      </x:c>
      <x:c r="C279" t="str">
        <x:v>Cleaning</x:v>
      </x:c>
      <x:c r="D279" t="str">
        <x:v>Vauxhall</x:v>
      </x:c>
      <x:c r="E279" s="4" t="n">
        <x:v>1606.81</x:v>
      </x:c>
      <x:c r="F279" s="4" t="n">
        <x:v>1600</x:v>
      </x:c>
      <x:c r="G279" t="str"/>
    </x:row>
    <x:row r="280">
      <x:c r="A280" s="2" t="n">
        <x:v>46235</x:v>
      </x:c>
      <x:c r="B280" t="str">
        <x:v>CleanPro Services</x:v>
      </x:c>
      <x:c r="C280" t="str">
        <x:v>Cleaning</x:v>
      </x:c>
      <x:c r="D280" t="str">
        <x:v>Borough</x:v>
      </x:c>
      <x:c r="E280" s="4" t="n">
        <x:v>883.61</x:v>
      </x:c>
      <x:c r="F280" s="4" t="n">
        <x:v>900</x:v>
      </x:c>
      <x:c r="G280" t="str"/>
    </x:row>
    <x:row r="281">
      <x:c r="A281" s="2" t="n">
        <x:v>46235</x:v>
      </x:c>
      <x:c r="B281" t="str">
        <x:v>CleanPro Services</x:v>
      </x:c>
      <x:c r="C281" t="str">
        <x:v>Cleaning</x:v>
      </x:c>
      <x:c r="D281" t="str">
        <x:v>Camden</x:v>
      </x:c>
      <x:c r="E281" s="4" t="n">
        <x:v>1210.06</x:v>
      </x:c>
      <x:c r="F281" s="4" t="n">
        <x:v>1200</x:v>
      </x:c>
      <x:c r="G281" t="str"/>
    </x:row>
    <x:row r="282">
      <x:c r="A282" s="2" t="n">
        <x:v>46235</x:v>
      </x:c>
      <x:c r="B282" t="str">
        <x:v>London Linen</x:v>
      </x:c>
      <x:c r="C282" t="str">
        <x:v>Linen</x:v>
      </x:c>
      <x:c r="D282" t="str">
        <x:v>Soho</x:v>
      </x:c>
      <x:c r="E282" s="4" t="n">
        <x:v>1526.11</x:v>
      </x:c>
      <x:c r="F282" s="4" t="n">
        <x:v>1500</x:v>
      </x:c>
      <x:c r="G282" t="str"/>
    </x:row>
    <x:row r="283">
      <x:c r="A283" s="2" t="n">
        <x:v>46235</x:v>
      </x:c>
      <x:c r="B283" t="str">
        <x:v>London Linen</x:v>
      </x:c>
      <x:c r="C283" t="str">
        <x:v>Linen</x:v>
      </x:c>
      <x:c r="D283" t="str">
        <x:v>Vauxhall</x:v>
      </x:c>
      <x:c r="E283" s="4" t="n">
        <x:v>1366.8</x:v>
      </x:c>
      <x:c r="F283" s="4" t="n">
        <x:v>1400</x:v>
      </x:c>
      <x:c r="G283" t="str"/>
    </x:row>
    <x:row r="284">
      <x:c r="A284" s="2" t="n">
        <x:v>46235</x:v>
      </x:c>
      <x:c r="B284" t="str">
        <x:v>London Linen</x:v>
      </x:c>
      <x:c r="C284" t="str">
        <x:v>Linen</x:v>
      </x:c>
      <x:c r="D284" t="str">
        <x:v>Borough</x:v>
      </x:c>
      <x:c r="E284" s="4" t="n">
        <x:v>707.52</x:v>
      </x:c>
      <x:c r="F284" s="4" t="n">
        <x:v>700</x:v>
      </x:c>
      <x:c r="G284" t="str"/>
    </x:row>
    <x:row r="285">
      <x:c r="A285" s="2" t="n">
        <x:v>46235</x:v>
      </x:c>
      <x:c r="B285" t="str">
        <x:v>London Linen</x:v>
      </x:c>
      <x:c r="C285" t="str">
        <x:v>Linen</x:v>
      </x:c>
      <x:c r="D285" t="str">
        <x:v>Camden</x:v>
      </x:c>
      <x:c r="E285" s="4" t="n">
        <x:v>883.01</x:v>
      </x:c>
      <x:c r="F285" s="4" t="n">
        <x:v>900</x:v>
      </x:c>
      <x:c r="G285" t="str"/>
    </x:row>
    <x:row r="286">
      <x:c r="A286" s="2" t="n">
        <x:v>46235</x:v>
      </x:c>
      <x:c r="B286" t="str">
        <x:v>Rapid Repairs</x:v>
      </x:c>
      <x:c r="C286" t="str">
        <x:v>Maintenance</x:v>
      </x:c>
      <x:c r="D286" t="str">
        <x:v>Soho</x:v>
      </x:c>
      <x:c r="E286" s="4" t="n">
        <x:v>899.17</x:v>
      </x:c>
      <x:c r="F286" s="4" t="n">
        <x:v>900</x:v>
      </x:c>
      <x:c r="G286" t="str"/>
    </x:row>
    <x:row r="287">
      <x:c r="A287" s="2" t="n">
        <x:v>46235</x:v>
      </x:c>
      <x:c r="B287" t="str">
        <x:v>Rapid Repairs</x:v>
      </x:c>
      <x:c r="C287" t="str">
        <x:v>Maintenance</x:v>
      </x:c>
      <x:c r="D287" t="str">
        <x:v>Vauxhall</x:v>
      </x:c>
      <x:c r="E287" s="4" t="n">
        <x:v>877.56</x:v>
      </x:c>
      <x:c r="F287" s="4" t="n">
        <x:v>850</x:v>
      </x:c>
      <x:c r="G287" t="str"/>
    </x:row>
    <x:row r="288">
      <x:c r="A288" s="2" t="n">
        <x:v>46235</x:v>
      </x:c>
      <x:c r="B288" t="str">
        <x:v>Rapid Repairs</x:v>
      </x:c>
      <x:c r="C288" t="str">
        <x:v>Maintenance</x:v>
      </x:c>
      <x:c r="D288" t="str">
        <x:v>Borough</x:v>
      </x:c>
      <x:c r="E288" s="4" t="n">
        <x:v>513.84</x:v>
      </x:c>
      <x:c r="F288" s="4" t="n">
        <x:v>500</x:v>
      </x:c>
      <x:c r="G288" t="str"/>
    </x:row>
    <x:row r="289">
      <x:c r="A289" s="2" t="n">
        <x:v>46235</x:v>
      </x:c>
      <x:c r="B289" t="str">
        <x:v>Rapid Repairs</x:v>
      </x:c>
      <x:c r="C289" t="str">
        <x:v>Maintenance</x:v>
      </x:c>
      <x:c r="D289" t="str">
        <x:v>Camden</x:v>
      </x:c>
      <x:c r="E289" s="4" t="n">
        <x:v>628.8</x:v>
      </x:c>
      <x:c r="F289" s="4" t="n">
        <x:v>650</x:v>
      </x:c>
      <x:c r="G289" t="str"/>
    </x:row>
  </x:sheetData>
  <x:pageMargins left="0.7" right="0.7" top="0.75" bottom="0.75" header="0.3" footer="0.3"/>
  <x:tableParts count="1">
    <x:tablePart xmlns:r="http://schemas.openxmlformats.org/officeDocument/2006/relationships" r:id="Rfbf27f28093c421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2" hidden="0" customWidth="1"/>
    <x:col min="5" max="5" width="18" hidden="0" customWidth="1"/>
    <x:col min="6" max="6" width="14" hidden="0" customWidth="1"/>
    <x:col min="7" max="7" width="14" hidden="0" customWidth="1"/>
  </x:cols>
  <x:sheetData>
    <x:row r="1" ht="30" customHeight="1">
      <x:c r="A1" s="12" t="str">
        <x:v>Month</x:v>
      </x:c>
      <x:c r="B1" s="12" t="str">
        <x:v>Site</x:v>
      </x:c>
      <x:c r="C1" s="12" t="str">
        <x:v>Revenue</x:v>
      </x:c>
      <x:c r="D1" s="12" t="str">
        <x:v>Scheduled Labour Cost</x:v>
      </x:c>
      <x:c r="E1" s="12" t="str">
        <x:v>Actual Labour Cost</x:v>
      </x:c>
      <x:c r="F1" s="12" t="str">
        <x:v>Overtime Cost</x:v>
      </x:c>
      <x:c r="G1" s="12" t="str">
        <x:v>Agency Cost</x:v>
      </x:c>
    </x:row>
    <x:row r="2">
      <x:c r="A2" s="2" t="n">
        <x:v>45901</x:v>
      </x:c>
      <x:c r="B2" t="str">
        <x:v>Soho</x:v>
      </x:c>
      <x:c r="C2" s="4" t="n">
        <x:v>130680</x:v>
      </x:c>
      <x:c r="D2" s="4" t="n">
        <x:v>40510.8</x:v>
      </x:c>
      <x:c r="E2" s="4" t="n">
        <x:v>41164.2</x:v>
      </x:c>
      <x:c r="F2" s="4" t="n">
        <x:v>228.69</x:v>
      </x:c>
      <x:c r="G2" s="4" t="n">
        <x:v>0</x:v>
      </x:c>
    </x:row>
    <x:row r="3">
      <x:c r="A3" s="2" t="n">
        <x:v>45901</x:v>
      </x:c>
      <x:c r="B3" t="str">
        <x:v>Vauxhall</x:v>
      </x:c>
      <x:c r="C3" s="4" t="n">
        <x:v>109760</x:v>
      </x:c>
      <x:c r="D3" s="4" t="n">
        <x:v>33264</x:v>
      </x:c>
      <x:c r="E3" s="4" t="n">
        <x:v>34025.6</x:v>
      </x:c>
      <x:c r="F3" s="4" t="n">
        <x:v>418.88</x:v>
      </x:c>
      <x:c r="G3" s="4" t="n">
        <x:v>0</x:v>
      </x:c>
    </x:row>
    <x:row r="4">
      <x:c r="A4" s="2" t="n">
        <x:v>45901</x:v>
      </x:c>
      <x:c r="B4" t="str">
        <x:v>Borough</x:v>
      </x:c>
      <x:c r="C4" s="4" t="n">
        <x:v>68680</x:v>
      </x:c>
      <x:c r="D4" s="4" t="n">
        <x:v>21542.4</x:v>
      </x:c>
      <x:c r="E4" s="4" t="n">
        <x:v>21634.2</x:v>
      </x:c>
      <x:c r="F4" s="4" t="n">
        <x:v>32.13</x:v>
      </x:c>
      <x:c r="G4" s="4" t="n">
        <x:v>0</x:v>
      </x:c>
    </x:row>
    <x:row r="5">
      <x:c r="A5" s="2" t="n">
        <x:v>45901</x:v>
      </x:c>
      <x:c r="B5" t="str">
        <x:v>Camden</x:v>
      </x:c>
      <x:c r="C5" s="4" t="n">
        <x:v>72000</x:v>
      </x:c>
      <x:c r="D5" s="4" t="n">
        <x:v>20671.2</x:v>
      </x:c>
      <x:c r="E5" s="4" t="n">
        <x:v>20520</x:v>
      </x:c>
      <x:c r="F5" s="4" t="n">
        <x:v>0</x:v>
      </x:c>
      <x:c r="G5" s="4" t="n">
        <x:v>0</x:v>
      </x:c>
    </x:row>
    <x:row r="6">
      <x:c r="A6" s="2" t="n">
        <x:v>45931</x:v>
      </x:c>
      <x:c r="B6" t="str">
        <x:v>Soho</x:v>
      </x:c>
      <x:c r="C6" s="4" t="n">
        <x:v>138875</x:v>
      </x:c>
      <x:c r="D6" s="4" t="n">
        <x:v>42198.75</x:v>
      </x:c>
      <x:c r="E6" s="4" t="n">
        <x:v>43745.62</x:v>
      </x:c>
      <x:c r="F6" s="4" t="n">
        <x:v>541.4</x:v>
      </x:c>
      <x:c r="G6" s="4" t="n">
        <x:v>0</x:v>
      </x:c>
    </x:row>
    <x:row r="7">
      <x:c r="A7" s="2" t="n">
        <x:v>45931</x:v>
      </x:c>
      <x:c r="B7" t="str">
        <x:v>Vauxhall</x:v>
      </x:c>
      <x:c r="C7" s="4" t="n">
        <x:v>115500</x:v>
      </x:c>
      <x:c r="D7" s="4" t="n">
        <x:v>34650</x:v>
      </x:c>
      <x:c r="E7" s="4" t="n">
        <x:v>35805</x:v>
      </x:c>
      <x:c r="F7" s="4" t="n">
        <x:v>635.25</x:v>
      </x:c>
      <x:c r="G7" s="4" t="n">
        <x:v>0</x:v>
      </x:c>
    </x:row>
    <x:row r="8">
      <x:c r="A8" s="2" t="n">
        <x:v>45931</x:v>
      </x:c>
      <x:c r="B8" t="str">
        <x:v>Borough</x:v>
      </x:c>
      <x:c r="C8" s="4" t="n">
        <x:v>72250</x:v>
      </x:c>
      <x:c r="D8" s="4" t="n">
        <x:v>22440</x:v>
      </x:c>
      <x:c r="E8" s="4" t="n">
        <x:v>22758.75</x:v>
      </x:c>
      <x:c r="F8" s="4" t="n">
        <x:v>111.56</x:v>
      </x:c>
      <x:c r="G8" s="4" t="n">
        <x:v>0</x:v>
      </x:c>
    </x:row>
    <x:row r="9">
      <x:c r="A9" s="2" t="n">
        <x:v>45931</x:v>
      </x:c>
      <x:c r="B9" t="str">
        <x:v>Camden</x:v>
      </x:c>
      <x:c r="C9" s="4" t="n">
        <x:v>75750</x:v>
      </x:c>
      <x:c r="D9" s="4" t="n">
        <x:v>21532.5</x:v>
      </x:c>
      <x:c r="E9" s="4" t="n">
        <x:v>21588.75</x:v>
      </x:c>
      <x:c r="F9" s="4" t="n">
        <x:v>19.69</x:v>
      </x:c>
      <x:c r="G9" s="4" t="n">
        <x:v>0</x:v>
      </x:c>
    </x:row>
    <x:row r="10">
      <x:c r="A10" s="2" t="n">
        <x:v>45962</x:v>
      </x:c>
      <x:c r="B10" t="str">
        <x:v>Soho</x:v>
      </x:c>
      <x:c r="C10" s="4" t="n">
        <x:v>138792.5</x:v>
      </x:c>
      <x:c r="D10" s="4" t="n">
        <x:v>43464.71</x:v>
      </x:c>
      <x:c r="E10" s="4" t="n">
        <x:v>43719.64</x:v>
      </x:c>
      <x:c r="F10" s="4" t="n">
        <x:v>89.23</x:v>
      </x:c>
      <x:c r="G10" s="4" t="n">
        <x:v>0</x:v>
      </x:c>
    </x:row>
    <x:row r="11">
      <x:c r="A11" s="2" t="n">
        <x:v>45962</x:v>
      </x:c>
      <x:c r="B11" t="str">
        <x:v>Vauxhall</x:v>
      </x:c>
      <x:c r="C11" s="4" t="n">
        <x:v>115360</x:v>
      </x:c>
      <x:c r="D11" s="4" t="n">
        <x:v>35689.5</x:v>
      </x:c>
      <x:c r="E11" s="4" t="n">
        <x:v>35761.6</x:v>
      </x:c>
      <x:c r="F11" s="4" t="n">
        <x:v>39.65</x:v>
      </x:c>
      <x:c r="G11" s="4" t="n">
        <x:v>0</x:v>
      </x:c>
    </x:row>
    <x:row r="12">
      <x:c r="A12" s="2" t="n">
        <x:v>45962</x:v>
      </x:c>
      <x:c r="B12" t="str">
        <x:v>Borough</x:v>
      </x:c>
      <x:c r="C12" s="4" t="n">
        <x:v>72958.33</x:v>
      </x:c>
      <x:c r="D12" s="4" t="n">
        <x:v>23113.2</x:v>
      </x:c>
      <x:c r="E12" s="4" t="n">
        <x:v>22981.87</x:v>
      </x:c>
      <x:c r="F12" s="4" t="n">
        <x:v>0</x:v>
      </x:c>
      <x:c r="G12" s="4" t="n">
        <x:v>0</x:v>
      </x:c>
    </x:row>
    <x:row r="13">
      <x:c r="A13" s="2" t="n">
        <x:v>45962</x:v>
      </x:c>
      <x:c r="B13" t="str">
        <x:v>Camden</x:v>
      </x:c>
      <x:c r="C13" s="4" t="n">
        <x:v>79567.5</x:v>
      </x:c>
      <x:c r="D13" s="4" t="n">
        <x:v>22178.47</x:v>
      </x:c>
      <x:c r="E13" s="4" t="n">
        <x:v>22676.74</x:v>
      </x:c>
      <x:c r="F13" s="4" t="n">
        <x:v>174.39</x:v>
      </x:c>
      <x:c r="G13" s="4" t="n">
        <x:v>0</x:v>
      </x:c>
    </x:row>
    <x:row r="14">
      <x:c r="A14" s="2" t="n">
        <x:v>45992</x:v>
      </x:c>
      <x:c r="B14" t="str">
        <x:v>Soho</x:v>
      </x:c>
      <x:c r="C14" s="4" t="n">
        <x:v>158620</x:v>
      </x:c>
      <x:c r="D14" s="4" t="n">
        <x:v>47262.6</x:v>
      </x:c>
      <x:c r="E14" s="4" t="n">
        <x:v>50917.02</x:v>
      </x:c>
      <x:c r="F14" s="4" t="n">
        <x:v>945.95</x:v>
      </x:c>
      <x:c r="G14" s="4" t="n">
        <x:v>951.72</x:v>
      </x:c>
    </x:row>
    <x:row r="15">
      <x:c r="A15" s="2" t="n">
        <x:v>45992</x:v>
      </x:c>
      <x:c r="B15" t="str">
        <x:v>Vauxhall</x:v>
      </x:c>
      <x:c r="C15" s="4" t="n">
        <x:v>129360</x:v>
      </x:c>
      <x:c r="D15" s="4" t="n">
        <x:v>38808</x:v>
      </x:c>
      <x:c r="E15" s="4" t="n">
        <x:v>40101.6</x:v>
      </x:c>
      <x:c r="F15" s="4" t="n">
        <x:v>711.48</x:v>
      </x:c>
      <x:c r="G15" s="4" t="n">
        <x:v>0</x:v>
      </x:c>
    </x:row>
    <x:row r="16">
      <x:c r="A16" s="2" t="n">
        <x:v>45992</x:v>
      </x:c>
      <x:c r="B16" t="str">
        <x:v>Borough</x:v>
      </x:c>
      <x:c r="C16" s="4" t="n">
        <x:v>82506.66</x:v>
      </x:c>
      <x:c r="D16" s="4" t="n">
        <x:v>25132.8</x:v>
      </x:c>
      <x:c r="E16" s="4" t="n">
        <x:v>25989.6</x:v>
      </x:c>
      <x:c r="F16" s="4" t="n">
        <x:v>299.88</x:v>
      </x:c>
      <x:c r="G16" s="4" t="n">
        <x:v>0</x:v>
      </x:c>
    </x:row>
    <x:row r="17">
      <x:c r="A17" s="2" t="n">
        <x:v>45992</x:v>
      </x:c>
      <x:c r="B17" t="str">
        <x:v>Camden</x:v>
      </x:c>
      <x:c r="C17" s="4" t="n">
        <x:v>89040</x:v>
      </x:c>
      <x:c r="D17" s="4" t="n">
        <x:v>24116.4</x:v>
      </x:c>
      <x:c r="E17" s="4" t="n">
        <x:v>25376.4</x:v>
      </x:c>
      <x:c r="F17" s="4" t="n">
        <x:v>441</x:v>
      </x:c>
      <x:c r="G17" s="4" t="n">
        <x:v>0</x:v>
      </x:c>
    </x:row>
    <x:row r="18">
      <x:c r="A18" s="2" t="n">
        <x:v>46023</x:v>
      </x:c>
      <x:c r="B18" t="str">
        <x:v>Soho</x:v>
      </x:c>
      <x:c r="C18" s="4" t="n">
        <x:v>118800</x:v>
      </x:c>
      <x:c r="D18" s="4" t="n">
        <x:v>37978.88</x:v>
      </x:c>
      <x:c r="E18" s="4" t="n">
        <x:v>37422</x:v>
      </x:c>
      <x:c r="F18" s="4" t="n">
        <x:v>0</x:v>
      </x:c>
      <x:c r="G18" s="4" t="n">
        <x:v>0</x:v>
      </x:c>
    </x:row>
    <x:row r="19">
      <x:c r="A19" s="2" t="n">
        <x:v>46023</x:v>
      </x:c>
      <x:c r="B19" t="str">
        <x:v>Vauxhall</x:v>
      </x:c>
      <x:c r="C19" s="4" t="n">
        <x:v>98700</x:v>
      </x:c>
      <x:c r="D19" s="4" t="n">
        <x:v>31185</x:v>
      </x:c>
      <x:c r="E19" s="4" t="n">
        <x:v>30597</x:v>
      </x:c>
      <x:c r="F19" s="4" t="n">
        <x:v>0</x:v>
      </x:c>
      <x:c r="G19" s="4" t="n">
        <x:v>0</x:v>
      </x:c>
    </x:row>
    <x:row r="20">
      <x:c r="A20" s="2" t="n">
        <x:v>46023</x:v>
      </x:c>
      <x:c r="B20" t="str">
        <x:v>Borough</x:v>
      </x:c>
      <x:c r="C20" s="4" t="n">
        <x:v>65025</x:v>
      </x:c>
      <x:c r="D20" s="4" t="n">
        <x:v>20196</x:v>
      </x:c>
      <x:c r="E20" s="4" t="n">
        <x:v>20482.88</x:v>
      </x:c>
      <x:c r="F20" s="4" t="n">
        <x:v>100.41</x:v>
      </x:c>
      <x:c r="G20" s="4" t="n">
        <x:v>0</x:v>
      </x:c>
    </x:row>
    <x:row r="21">
      <x:c r="A21" s="2" t="n">
        <x:v>46023</x:v>
      </x:c>
      <x:c r="B21" t="str">
        <x:v>Camden</x:v>
      </x:c>
      <x:c r="C21" s="4" t="n">
        <x:v>66150</x:v>
      </x:c>
      <x:c r="D21" s="4" t="n">
        <x:v>19379.25</x:v>
      </x:c>
      <x:c r="E21" s="4" t="n">
        <x:v>18852.75</x:v>
      </x:c>
      <x:c r="F21" s="4" t="n">
        <x:v>0</x:v>
      </x:c>
      <x:c r="G21" s="4" t="n">
        <x:v>0</x:v>
      </x:c>
    </x:row>
    <x:row r="22">
      <x:c r="A22" s="2" t="n">
        <x:v>46054</x:v>
      </x:c>
      <x:c r="B22" t="str">
        <x:v>Soho</x:v>
      </x:c>
      <x:c r="C22" s="4" t="n">
        <x:v>121371.25</x:v>
      </x:c>
      <x:c r="D22" s="4" t="n">
        <x:v>38400.86</x:v>
      </x:c>
      <x:c r="E22" s="4" t="n">
        <x:v>38231.94</x:v>
      </x:c>
      <x:c r="F22" s="4" t="n">
        <x:v>0</x:v>
      </x:c>
      <x:c r="G22" s="4" t="n">
        <x:v>0</x:v>
      </x:c>
    </x:row>
    <x:row r="23">
      <x:c r="A23" s="2" t="n">
        <x:v>46054</x:v>
      </x:c>
      <x:c r="B23" t="str">
        <x:v>Vauxhall</x:v>
      </x:c>
      <x:c r="C23" s="4" t="n">
        <x:v>100858.34</x:v>
      </x:c>
      <x:c r="D23" s="4" t="n">
        <x:v>31531.5</x:v>
      </x:c>
      <x:c r="E23" s="4" t="n">
        <x:v>33081.54</x:v>
      </x:c>
      <x:c r="F23" s="4" t="n">
        <x:v>186.86</x:v>
      </x:c>
      <x:c r="G23" s="4" t="n">
        <x:v>1210.3</x:v>
      </x:c>
    </x:row>
    <x:row r="24">
      <x:c r="A24" s="2" t="n">
        <x:v>46054</x:v>
      </x:c>
      <x:c r="B24" t="str">
        <x:v>Borough</x:v>
      </x:c>
      <x:c r="C24" s="4" t="n">
        <x:v>64458.33</x:v>
      </x:c>
      <x:c r="D24" s="4" t="n">
        <x:v>20420.4</x:v>
      </x:c>
      <x:c r="E24" s="4" t="n">
        <x:v>20304.37</x:v>
      </x:c>
      <x:c r="F24" s="4" t="n">
        <x:v>0</x:v>
      </x:c>
      <x:c r="G24" s="4" t="n">
        <x:v>0</x:v>
      </x:c>
    </x:row>
    <x:row r="25">
      <x:c r="A25" s="2" t="n">
        <x:v>46054</x:v>
      </x:c>
      <x:c r="B25" t="str">
        <x:v>Camden</x:v>
      </x:c>
      <x:c r="C25" s="4" t="n">
        <x:v>67567.5</x:v>
      </x:c>
      <x:c r="D25" s="4" t="n">
        <x:v>19594.58</x:v>
      </x:c>
      <x:c r="E25" s="4" t="n">
        <x:v>19256.74</x:v>
      </x:c>
      <x:c r="F25" s="4" t="n">
        <x:v>0</x:v>
      </x:c>
      <x:c r="G25" s="4" t="n">
        <x:v>0</x:v>
      </x:c>
    </x:row>
    <x:row r="26">
      <x:c r="A26" s="2" t="n">
        <x:v>46082</x:v>
      </x:c>
      <x:c r="B26" t="str">
        <x:v>Soho</x:v>
      </x:c>
      <x:c r="C26" s="4" t="n">
        <x:v>132041.25</x:v>
      </x:c>
      <x:c r="D26" s="4" t="n">
        <x:v>40932.79</x:v>
      </x:c>
      <x:c r="E26" s="4" t="n">
        <x:v>41592.99</x:v>
      </x:c>
      <x:c r="F26" s="4" t="n">
        <x:v>231.07</x:v>
      </x:c>
      <x:c r="G26" s="4" t="n">
        <x:v>0</x:v>
      </x:c>
    </x:row>
    <x:row r="27">
      <x:c r="A27" s="2" t="n">
        <x:v>46082</x:v>
      </x:c>
      <x:c r="B27" t="str">
        <x:v>Vauxhall</x:v>
      </x:c>
      <x:c r="C27" s="4" t="n">
        <x:v>108640</x:v>
      </x:c>
      <x:c r="D27" s="4" t="n">
        <x:v>33610.5</x:v>
      </x:c>
      <x:c r="E27" s="4" t="n">
        <x:v>35633.92</x:v>
      </x:c>
      <x:c r="F27" s="4" t="n">
        <x:v>395.86</x:v>
      </x:c>
      <x:c r="G27" s="4" t="n">
        <x:v>1303.68</x:v>
      </x:c>
    </x:row>
    <x:row r="28">
      <x:c r="A28" s="2" t="n">
        <x:v>46082</x:v>
      </x:c>
      <x:c r="B28" t="str">
        <x:v>Borough</x:v>
      </x:c>
      <x:c r="C28" s="4" t="n">
        <x:v>69395.41</x:v>
      </x:c>
      <x:c r="D28" s="4" t="n">
        <x:v>21766.8</x:v>
      </x:c>
      <x:c r="E28" s="4" t="n">
        <x:v>21859.55</x:v>
      </x:c>
      <x:c r="F28" s="4" t="n">
        <x:v>32.46</x:v>
      </x:c>
      <x:c r="G28" s="4" t="n">
        <x:v>0</x:v>
      </x:c>
    </x:row>
    <x:row r="29">
      <x:c r="A29" s="2" t="n">
        <x:v>46082</x:v>
      </x:c>
      <x:c r="B29" t="str">
        <x:v>Camden</x:v>
      </x:c>
      <x:c r="C29" s="4" t="n">
        <x:v>74205</x:v>
      </x:c>
      <x:c r="D29" s="4" t="n">
        <x:v>20886.53</x:v>
      </x:c>
      <x:c r="E29" s="4" t="n">
        <x:v>21148.42</x:v>
      </x:c>
      <x:c r="F29" s="4" t="n">
        <x:v>91.66</x:v>
      </x:c>
      <x:c r="G29" s="4" t="n">
        <x:v>0</x:v>
      </x:c>
    </x:row>
    <x:row r="30">
      <x:c r="A30" s="2" t="n">
        <x:v>46113</x:v>
      </x:c>
      <x:c r="B30" t="str">
        <x:v>Soho</x:v>
      </x:c>
      <x:c r="C30" s="4" t="n">
        <x:v>136125</x:v>
      </x:c>
      <x:c r="D30" s="4" t="n">
        <x:v>41776.76</x:v>
      </x:c>
      <x:c r="E30" s="4" t="n">
        <x:v>42879.38</x:v>
      </x:c>
      <x:c r="F30" s="4" t="n">
        <x:v>385.92</x:v>
      </x:c>
      <x:c r="G30" s="4" t="n">
        <x:v>0</x:v>
      </x:c>
    </x:row>
    <x:row r="31">
      <x:c r="A31" s="2" t="n">
        <x:v>46113</x:v>
      </x:c>
      <x:c r="B31" t="str">
        <x:v>Vauxhall</x:v>
      </x:c>
      <x:c r="C31" s="4" t="n">
        <x:v>112035</x:v>
      </x:c>
      <x:c r="D31" s="4" t="n">
        <x:v>34303.5</x:v>
      </x:c>
      <x:c r="E31" s="4" t="n">
        <x:v>36747.48</x:v>
      </x:c>
      <x:c r="F31" s="4" t="n">
        <x:v>604.76</x:v>
      </x:c>
      <x:c r="G31" s="4" t="n">
        <x:v>1344.42</x:v>
      </x:c>
    </x:row>
    <x:row r="32">
      <x:c r="A32" s="2" t="n">
        <x:v>46113</x:v>
      </x:c>
      <x:c r="B32" t="str">
        <x:v>Borough</x:v>
      </x:c>
      <x:c r="C32" s="4" t="n">
        <x:v>72228.75</x:v>
      </x:c>
      <x:c r="D32" s="4" t="n">
        <x:v>22215.6</x:v>
      </x:c>
      <x:c r="E32" s="4" t="n">
        <x:v>22752.06</x:v>
      </x:c>
      <x:c r="F32" s="4" t="n">
        <x:v>187.76</x:v>
      </x:c>
      <x:c r="G32" s="4" t="n">
        <x:v>0</x:v>
      </x:c>
    </x:row>
    <x:row r="33">
      <x:c r="A33" s="2" t="n">
        <x:v>46113</x:v>
      </x:c>
      <x:c r="B33" t="str">
        <x:v>Camden</x:v>
      </x:c>
      <x:c r="C33" s="4" t="n">
        <x:v>77220</x:v>
      </x:c>
      <x:c r="D33" s="4" t="n">
        <x:v>21317.17</x:v>
      </x:c>
      <x:c r="E33" s="4" t="n">
        <x:v>22007.7</x:v>
      </x:c>
      <x:c r="F33" s="4" t="n">
        <x:v>241.69</x:v>
      </x:c>
      <x:c r="G33" s="4" t="n">
        <x:v>0</x:v>
      </x:c>
    </x:row>
    <x:row r="34">
      <x:c r="A34" s="2" t="n">
        <x:v>46143</x:v>
      </x:c>
      <x:c r="B34" t="str">
        <x:v>Soho</x:v>
      </x:c>
      <x:c r="C34" s="4" t="n">
        <x:v>141652.5</x:v>
      </x:c>
      <x:c r="D34" s="4" t="n">
        <x:v>43042.72</x:v>
      </x:c>
      <x:c r="E34" s="4" t="n">
        <x:v>44620.54</x:v>
      </x:c>
      <x:c r="F34" s="4" t="n">
        <x:v>552.24</x:v>
      </x:c>
      <x:c r="G34" s="4" t="n">
        <x:v>0</x:v>
      </x:c>
    </x:row>
    <x:row r="35">
      <x:c r="A35" s="2" t="n">
        <x:v>46143</x:v>
      </x:c>
      <x:c r="B35" t="str">
        <x:v>Vauxhall</x:v>
      </x:c>
      <x:c r="C35" s="4" t="n">
        <x:v>113050</x:v>
      </x:c>
      <x:c r="D35" s="4" t="n">
        <x:v>35343</x:v>
      </x:c>
      <x:c r="E35" s="4" t="n">
        <x:v>37080.4</x:v>
      </x:c>
      <x:c r="F35" s="4" t="n">
        <x:v>209.44</x:v>
      </x:c>
      <x:c r="G35" s="4" t="n">
        <x:v>1356.6</x:v>
      </x:c>
    </x:row>
    <x:row r="36">
      <x:c r="A36" s="2" t="n">
        <x:v>46143</x:v>
      </x:c>
      <x:c r="B36" t="str">
        <x:v>Borough</x:v>
      </x:c>
      <x:c r="C36" s="4" t="n">
        <x:v>73695</x:v>
      </x:c>
      <x:c r="D36" s="4" t="n">
        <x:v>22888.8</x:v>
      </x:c>
      <x:c r="E36" s="4" t="n">
        <x:v>23213.92</x:v>
      </x:c>
      <x:c r="F36" s="4" t="n">
        <x:v>113.79</x:v>
      </x:c>
      <x:c r="G36" s="4" t="n">
        <x:v>0</x:v>
      </x:c>
    </x:row>
    <x:row r="37">
      <x:c r="A37" s="2" t="n">
        <x:v>46143</x:v>
      </x:c>
      <x:c r="B37" t="str">
        <x:v>Camden</x:v>
      </x:c>
      <x:c r="C37" s="4" t="n">
        <x:v>80325</x:v>
      </x:c>
      <x:c r="D37" s="4" t="n">
        <x:v>21963.15</x:v>
      </x:c>
      <x:c r="E37" s="4" t="n">
        <x:v>22892.62</x:v>
      </x:c>
      <x:c r="F37" s="4" t="n">
        <x:v>325.31</x:v>
      </x:c>
      <x:c r="G37" s="4" t="n">
        <x:v>0</x:v>
      </x:c>
    </x:row>
    <x:row r="38">
      <x:c r="A38" s="2" t="n">
        <x:v>46174</x:v>
      </x:c>
      <x:c r="B38" t="str">
        <x:v>Soho</x:v>
      </x:c>
      <x:c r="C38" s="4" t="n">
        <x:v>141487.5</x:v>
      </x:c>
      <x:c r="D38" s="4" t="n">
        <x:v>44308.69</x:v>
      </x:c>
      <x:c r="E38" s="4" t="n">
        <x:v>45417.49</x:v>
      </x:c>
      <x:c r="F38" s="4" t="n">
        <x:v>90.95</x:v>
      </x:c>
      <x:c r="G38" s="4" t="n">
        <x:v>848.93</x:v>
      </x:c>
    </x:row>
    <x:row r="39">
      <x:c r="A39" s="2" t="n">
        <x:v>46174</x:v>
      </x:c>
      <x:c r="B39" t="str">
        <x:v>Vauxhall</x:v>
      </x:c>
      <x:c r="C39" s="4" t="n">
        <x:v>115150</x:v>
      </x:c>
      <x:c r="D39" s="4" t="n">
        <x:v>36382.5</x:v>
      </x:c>
      <x:c r="E39" s="4" t="n">
        <x:v>37769.2</x:v>
      </x:c>
      <x:c r="F39" s="4" t="n">
        <x:v>2.7</x:v>
      </x:c>
      <x:c r="G39" s="4" t="n">
        <x:v>1381.8</x:v>
      </x:c>
    </x:row>
    <x:row r="40">
      <x:c r="A40" s="2" t="n">
        <x:v>46174</x:v>
      </x:c>
      <x:c r="B40" t="str">
        <x:v>Borough</x:v>
      </x:c>
      <x:c r="C40" s="4" t="n">
        <x:v>75118.75</x:v>
      </x:c>
      <x:c r="D40" s="4" t="n">
        <x:v>23562</x:v>
      </x:c>
      <x:c r="E40" s="4" t="n">
        <x:v>23662.41</x:v>
      </x:c>
      <x:c r="F40" s="4" t="n">
        <x:v>35.14</x:v>
      </x:c>
      <x:c r="G40" s="4" t="n">
        <x:v>0</x:v>
      </x:c>
    </x:row>
    <x:row r="41">
      <x:c r="A41" s="2" t="n">
        <x:v>46174</x:v>
      </x:c>
      <x:c r="B41" t="str">
        <x:v>Camden</x:v>
      </x:c>
      <x:c r="C41" s="4" t="n">
        <x:v>81112.5</x:v>
      </x:c>
      <x:c r="D41" s="4" t="n">
        <x:v>22609.12</x:v>
      </x:c>
      <x:c r="E41" s="4" t="n">
        <x:v>23117.06</x:v>
      </x:c>
      <x:c r="F41" s="4" t="n">
        <x:v>177.78</x:v>
      </x:c>
      <x:c r="G41" s="4" t="n">
        <x:v>0</x:v>
      </x:c>
    </x:row>
    <x:row r="42">
      <x:c r="A42" s="2" t="n">
        <x:v>46204</x:v>
      </x:c>
      <x:c r="B42" t="str">
        <x:v>Soho</x:v>
      </x:c>
      <x:c r="C42" s="4" t="n">
        <x:v>133375</x:v>
      </x:c>
      <x:c r="D42" s="4" t="n">
        <x:v>42198.75</x:v>
      </x:c>
      <x:c r="E42" s="4" t="n">
        <x:v>42013.12</x:v>
      </x:c>
      <x:c r="F42" s="4" t="n">
        <x:v>0</x:v>
      </x:c>
      <x:c r="G42" s="4" t="n">
        <x:v>0</x:v>
      </x:c>
    </x:row>
    <x:row r="43">
      <x:c r="A43" s="2" t="n">
        <x:v>46204</x:v>
      </x:c>
      <x:c r="B43" t="str">
        <x:v>Vauxhall</x:v>
      </x:c>
      <x:c r="C43" s="4" t="n">
        <x:v>108500</x:v>
      </x:c>
      <x:c r="D43" s="4" t="n">
        <x:v>34650</x:v>
      </x:c>
      <x:c r="E43" s="4" t="n">
        <x:v>35588</x:v>
      </x:c>
      <x:c r="F43" s="4" t="n">
        <x:v>0</x:v>
      </x:c>
      <x:c r="G43" s="4" t="n">
        <x:v>1302</x:v>
      </x:c>
    </x:row>
    <x:row r="44">
      <x:c r="A44" s="2" t="n">
        <x:v>46204</x:v>
      </x:c>
      <x:c r="B44" t="str">
        <x:v>Borough</x:v>
      </x:c>
      <x:c r="C44" s="4" t="n">
        <x:v>70833.33</x:v>
      </x:c>
      <x:c r="D44" s="4" t="n">
        <x:v>22440</x:v>
      </x:c>
      <x:c r="E44" s="4" t="n">
        <x:v>22312.5</x:v>
      </x:c>
      <x:c r="F44" s="4" t="n">
        <x:v>0</x:v>
      </x:c>
      <x:c r="G44" s="4" t="n">
        <x:v>0</x:v>
      </x:c>
    </x:row>
    <x:row r="45">
      <x:c r="A45" s="2" t="n">
        <x:v>46204</x:v>
      </x:c>
      <x:c r="B45" t="str">
        <x:v>Camden</x:v>
      </x:c>
      <x:c r="C45" s="4" t="n">
        <x:v>78000</x:v>
      </x:c>
      <x:c r="D45" s="4" t="n">
        <x:v>21532.5</x:v>
      </x:c>
      <x:c r="E45" s="4" t="n">
        <x:v>22230</x:v>
      </x:c>
      <x:c r="F45" s="4" t="n">
        <x:v>244.12</x:v>
      </x:c>
      <x:c r="G45" s="4" t="n">
        <x:v>0</x:v>
      </x:c>
    </x:row>
    <x:row r="46">
      <x:c r="A46" s="2" t="n">
        <x:v>46235</x:v>
      </x:c>
      <x:c r="B46" t="str">
        <x:v>Soho</x:v>
      </x:c>
      <x:c r="C46" s="4" t="n">
        <x:v>138600</x:v>
      </x:c>
      <x:c r="D46" s="4" t="n">
        <x:v>44308.69</x:v>
      </x:c>
      <x:c r="E46" s="4" t="n">
        <x:v>43659</x:v>
      </x:c>
      <x:c r="F46" s="4" t="n">
        <x:v>0</x:v>
      </x:c>
      <x:c r="G46" s="4" t="n">
        <x:v>0</x:v>
      </x:c>
    </x:row>
    <x:row r="47">
      <x:c r="A47" s="2" t="n">
        <x:v>46235</x:v>
      </x:c>
      <x:c r="B47" t="str">
        <x:v>Vauxhall</x:v>
      </x:c>
      <x:c r="C47" s="4" t="n">
        <x:v>112700</x:v>
      </x:c>
      <x:c r="D47" s="4" t="n">
        <x:v>36382.5</x:v>
      </x:c>
      <x:c r="E47" s="4" t="n">
        <x:v>36965.6</x:v>
      </x:c>
      <x:c r="F47" s="4" t="n">
        <x:v>0</x:v>
      </x:c>
      <x:c r="G47" s="4" t="n">
        <x:v>1352.4</x:v>
      </x:c>
    </x:row>
    <x:row r="48">
      <x:c r="A48" s="2" t="n">
        <x:v>46235</x:v>
      </x:c>
      <x:c r="B48" t="str">
        <x:v>Borough</x:v>
      </x:c>
      <x:c r="C48" s="4" t="n">
        <x:v>75118.75</x:v>
      </x:c>
      <x:c r="D48" s="4" t="n">
        <x:v>23562</x:v>
      </x:c>
      <x:c r="E48" s="4" t="n">
        <x:v>23662.41</x:v>
      </x:c>
      <x:c r="F48" s="4" t="n">
        <x:v>35.14</x:v>
      </x:c>
      <x:c r="G48" s="4" t="n">
        <x:v>0</x:v>
      </x:c>
    </x:row>
    <x:row r="49">
      <x:c r="A49" s="2" t="n">
        <x:v>46235</x:v>
      </x:c>
      <x:c r="B49" t="str">
        <x:v>Camden</x:v>
      </x:c>
      <x:c r="C49" s="4" t="n">
        <x:v>83475</x:v>
      </x:c>
      <x:c r="D49" s="4" t="n">
        <x:v>22609.12</x:v>
      </x:c>
      <x:c r="E49" s="4" t="n">
        <x:v>23790.37</x:v>
      </x:c>
      <x:c r="F49" s="4" t="n">
        <x:v>413.44</x:v>
      </x:c>
      <x:c r="G49" s="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c17eb3f73e436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20" hidden="0" customWidth="1"/>
    <x:col min="8" max="8" width="20" hidden="0" customWidth="1"/>
    <x:col min="9" max="9" width="22" hidden="0" customWidth="1"/>
    <x:col min="10" max="10" width="12" hidden="0" customWidth="1"/>
  </x:cols>
  <x:sheetData>
    <x:row r="1" ht="30" customHeight="1">
      <x:c r="A1" s="12" t="str">
        <x:v>Supplier</x:v>
      </x:c>
      <x:c r="B1" s="12" t="str">
        <x:v>Category</x:v>
      </x:c>
      <x:c r="C1" s="12" t="str">
        <x:v>Primary Owner</x:v>
      </x:c>
      <x:c r="D1" s="12" t="str">
        <x:v>Payment Terms</x:v>
      </x:c>
      <x:c r="E1" s="12" t="str">
        <x:v>Contract Start</x:v>
      </x:c>
      <x:c r="F1" s="12" t="str">
        <x:v>Renewal Date</x:v>
      </x:c>
      <x:c r="G1" s="12" t="str">
        <x:v>Notice Period (Days)</x:v>
      </x:c>
      <x:c r="H1" s="12" t="str">
        <x:v>Annual Contract Value</x:v>
      </x:c>
      <x:c r="I1" s="12" t="str">
        <x:v>Agreed Pricing Recorded</x:v>
      </x:c>
      <x:c r="J1" s="12" t="str">
        <x:v>Status</x:v>
      </x:c>
    </x:row>
    <x:row r="2">
      <x:c r="A2" t="str">
        <x:v>Fresh Foods Ltd</x:v>
      </x:c>
      <x:c r="B2" t="str">
        <x:v>Food</x:v>
      </x:c>
      <x:c r="C2" t="str">
        <x:v>Operations Manager</x:v>
      </x:c>
      <x:c r="D2" t="str">
        <x:v>30 days</x:v>
      </x:c>
      <x:c r="E2" s="6" t="n">
        <x:v>45658</x:v>
      </x:c>
      <x:c r="F2" s="6" t="n">
        <x:v>46387</x:v>
      </x:c>
      <x:c r="G2" t="n">
        <x:v>60</x:v>
      </x:c>
      <x:c r="H2" s="4" t="n">
        <x:v>310000</x:v>
      </x:c>
      <x:c r="I2" t="str">
        <x:v>Partial</x:v>
      </x:c>
      <x:c r="J2" t="str">
        <x:v>Active</x:v>
      </x:c>
    </x:row>
    <x:row r="3">
      <x:c r="A3" t="str">
        <x:v>City Beverages</x:v>
      </x:c>
      <x:c r="B3" t="str">
        <x:v>Beverage</x:v>
      </x:c>
      <x:c r="C3" t="str">
        <x:v>Operations Manager</x:v>
      </x:c>
      <x:c r="D3" t="str">
        <x:v>30 days</x:v>
      </x:c>
      <x:c r="E3" s="6" t="n">
        <x:v>45748</x:v>
      </x:c>
      <x:c r="F3" s="6" t="n">
        <x:v>46477</x:v>
      </x:c>
      <x:c r="G3" t="n">
        <x:v>90</x:v>
      </x:c>
      <x:c r="H3" s="4" t="n">
        <x:v>295000</x:v>
      </x:c>
      <x:c r="I3" t="str">
        <x:v>Yes</x:v>
      </x:c>
      <x:c r="J3" t="str">
        <x:v>Active</x:v>
      </x:c>
    </x:row>
    <x:row r="4">
      <x:c r="A4" t="str">
        <x:v>Prime Meat Co</x:v>
      </x:c>
      <x:c r="B4" t="str">
        <x:v>Food</x:v>
      </x:c>
      <x:c r="C4" t="str">
        <x:v>Head Chef</x:v>
      </x:c>
      <x:c r="D4" t="str">
        <x:v>14 days</x:v>
      </x:c>
      <x:c r="E4" s="6" t="n">
        <x:v>45809</x:v>
      </x:c>
      <x:c r="F4" s="6" t="n">
        <x:v>46356</x:v>
      </x:c>
      <x:c r="G4" t="n">
        <x:v>30</x:v>
      </x:c>
      <x:c r="H4" s="4" t="n">
        <x:v>155000</x:v>
      </x:c>
      <x:c r="I4" t="str">
        <x:v>No</x:v>
      </x:c>
      <x:c r="J4" t="str">
        <x:v>Active</x:v>
      </x:c>
    </x:row>
    <x:row r="5">
      <x:c r="A5" t="str">
        <x:v>CleanPro Services</x:v>
      </x:c>
      <x:c r="B5" t="str">
        <x:v>Cleaning</x:v>
      </x:c>
      <x:c r="C5" t="str">
        <x:v>Site Managers</x:v>
      </x:c>
      <x:c r="D5" t="str">
        <x:v>30 days</x:v>
      </x:c>
      <x:c r="E5" s="6" t="n">
        <x:v>45566</x:v>
      </x:c>
      <x:c r="F5" s="6" t="n">
        <x:v>46310</x:v>
      </x:c>
      <x:c r="G5" t="n">
        <x:v>90</x:v>
      </x:c>
      <x:c r="H5" s="4" t="n">
        <x:v>66000</x:v>
      </x:c>
      <x:c r="I5" t="str">
        <x:v>No</x:v>
      </x:c>
      <x:c r="J5" t="str">
        <x:v>Active</x:v>
      </x:c>
    </x:row>
    <x:row r="6">
      <x:c r="A6" t="str">
        <x:v>London Linen</x:v>
      </x:c>
      <x:c r="B6" t="str">
        <x:v>Linen</x:v>
      </x:c>
      <x:c r="C6" t="str">
        <x:v>Operations Manager</x:v>
      </x:c>
      <x:c r="D6" t="str">
        <x:v>30 days</x:v>
      </x:c>
      <x:c r="E6" s="6" t="n">
        <x:v>45689</x:v>
      </x:c>
      <x:c r="F6" s="6" t="n">
        <x:v>46418</x:v>
      </x:c>
      <x:c r="G6" t="n">
        <x:v>60</x:v>
      </x:c>
      <x:c r="H6" s="4" t="n">
        <x:v>54000</x:v>
      </x:c>
      <x:c r="I6" t="str">
        <x:v>Yes</x:v>
      </x:c>
      <x:c r="J6" t="str">
        <x:v>Active</x:v>
      </x:c>
    </x:row>
    <x:row r="7">
      <x:c r="A7" t="str">
        <x:v>Rapid Repairs</x:v>
      </x:c>
      <x:c r="B7" t="str">
        <x:v>Maintenance</x:v>
      </x:c>
      <x:c r="C7" t="str">
        <x:v>Various</x:v>
      </x:c>
      <x:c r="D7" t="str">
        <x:v>On receipt</x:v>
      </x:c>
      <x:c r="E7" s="6" t="n">
        <x:v>45292</x:v>
      </x:c>
      <x:c r="F7" s="6"/>
      <x:c r="G7"/>
      <x:c r="H7" s="4" t="n">
        <x:v>48000</x:v>
      </x:c>
      <x:c r="I7" t="str">
        <x:v>No</x:v>
      </x:c>
      <x:c r="J7" t="str">
        <x:v>Active</x:v>
      </x:c>
    </x:row>
    <x:row r="8">
      <x:c r="A8" t="str">
        <x:v>POS Cloud Ltd</x:v>
      </x:c>
      <x:c r="B8" t="str">
        <x:v>Technology</x:v>
      </x:c>
      <x:c r="C8" t="str">
        <x:v>Finance Manager</x:v>
      </x:c>
      <x:c r="D8" t="str">
        <x:v>30 days</x:v>
      </x:c>
      <x:c r="E8" s="6" t="n">
        <x:v>45717</x:v>
      </x:c>
      <x:c r="F8" s="6" t="n">
        <x:v>46446</x:v>
      </x:c>
      <x:c r="G8" t="n">
        <x:v>90</x:v>
      </x:c>
      <x:c r="H8" s="4" t="n">
        <x:v>24000</x:v>
      </x:c>
      <x:c r="I8" t="str">
        <x:v>Yes</x:v>
      </x:c>
      <x:c r="J8" t="str">
        <x:v>Active</x:v>
      </x:c>
    </x:row>
    <x:row r="9">
      <x:c r="A9" t="str">
        <x:v>WasteAway Ltd</x:v>
      </x:c>
      <x:c r="B9" t="str">
        <x:v>Waste</x:v>
      </x:c>
      <x:c r="C9" t="str">
        <x:v>Operations Manager</x:v>
      </x:c>
      <x:c r="D9" t="str">
        <x:v>30 days</x:v>
      </x:c>
      <x:c r="E9" s="6" t="n">
        <x:v>45672</x:v>
      </x:c>
      <x:c r="F9" s="6" t="n">
        <x:v>46305</x:v>
      </x:c>
      <x:c r="G9" t="n">
        <x:v>60</x:v>
      </x:c>
      <x:c r="H9" s="4" t="n">
        <x:v>36000</x:v>
      </x:c>
      <x:c r="I9" t="str">
        <x:v>Partial</x:v>
      </x:c>
      <x:c r="J9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3478466e5b2e4e8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55" hidden="0" customWidth="1"/>
  </x:cols>
  <x:sheetData>
    <x:row r="1">
      <x:c r="A1" s="16" t="str">
        <x:v>Dataset Purpose</x:v>
      </x:c>
      <x:c r="B1" s="17" t="str">
        <x:v>Fictional sample data for the Fictional &amp; Co SME Operations &amp; Finance Improvement Case Study.</x:v>
      </x:c>
    </x:row>
    <x:row r="2">
      <x:c r="A2" s="16" t="str">
        <x:v>Period</x:v>
      </x:c>
      <x:c r="B2" s="17" t="str">
        <x:v>Rolling 12 months: September 2025 to August 2026.</x:v>
      </x:c>
    </x:row>
    <x:row r="3">
      <x:c r="A3" s="16" t="str">
        <x:v>Sites</x:v>
      </x:c>
      <x:c r="B3" s="17" t="str">
        <x:v>Soho, Vauxhall, Borough and Camden.</x:v>
      </x:c>
    </x:row>
    <x:row r="4">
      <x:c r="A4" s="16" t="str">
        <x:v>Important</x:v>
      </x:c>
      <x:c r="B4" s="17" t="str">
        <x:v>The dataset is intentionally fictional and contains realistic patterns and anomalies for diagnostic and portfolio analysis.</x:v>
      </x:c>
    </x:row>
    <x:row r="5">
      <x:c r="A5" s="16" t="str">
        <x:v>Use</x:v>
      </x:c>
      <x:c r="B5" s="17" t="str">
        <x:v>The next stage will calculate management KPIs, identify exceptions and build a dashboard.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0" hidden="0" customWidth="1"/>
    <x:col min="3" max="3" width="48" hidden="0" customWidth="1"/>
    <x:col min="4" max="4" width="38" hidden="0" customWidth="1"/>
    <x:col min="5" max="5" width="44" hidden="0" customWidth="1"/>
    <x:col min="6" max="6" width="36" hidden="0" customWidth="1"/>
  </x:cols>
  <x:sheetData>
    <x:row r="1" ht="28" customHeight="1">
      <x:c r="A1" s="21" t="str">
        <x:v>Fictional &amp; Co — Financial &amp; Operational Analysis</x:v>
      </x:c>
      <x:c r="B1" s="21"/>
      <x:c r="C1" s="21"/>
      <x:c r="D1" s="21"/>
      <x:c r="E1" s="21"/>
      <x:c r="F1" s="21"/>
      <x:c r="G1" s="20"/>
      <x:c r="H1" s="20"/>
      <x:c r="I1" s="20"/>
      <x:c r="J1" s="20"/>
      <x:c r="K1" s="20"/>
    </x:row>
    <x:row r="3">
      <x:c r="A3" s="16" t="str">
        <x:v>Project</x:v>
      </x:c>
      <x:c r="B3" s="17" t="str">
        <x:v>SME Operations &amp; Finance Improvement Case Study</x:v>
      </x:c>
    </x:row>
    <x:row r="4">
      <x:c r="A4" s="16" t="str">
        <x:v>Role</x:v>
      </x:c>
      <x:c r="B4" s="17" t="str">
        <x:v>Operations Transformation Manager</x:v>
      </x:c>
    </x:row>
    <x:row r="5">
      <x:c r="A5" s="16" t="str">
        <x:v>Analysis Period</x:v>
      </x:c>
      <x:c r="B5" s="17" t="str">
        <x:v>September 2025 – August 2026</x:v>
      </x:c>
    </x:row>
    <x:row r="6">
      <x:c r="A6" s="16" t="str">
        <x:v>Sites</x:v>
      </x:c>
      <x:c r="B6" s="17" t="str">
        <x:v>Soho, Vauxhall, Borough, Camden</x:v>
      </x:c>
    </x:row>
    <x:row r="7">
      <x:c r="A7" s="16" t="str">
        <x:v>Objective</x:v>
      </x:c>
      <x:c r="B7" s="17" t="str">
        <x:v>Identify material performance, cost and operational exceptions before Site 5 expansion</x:v>
      </x:c>
    </x:row>
    <x:row r="8">
      <x:c r="A8" s="16" t="str">
        <x:v>Source</x:v>
      </x:c>
      <x:c r="B8" s="17" t="str">
        <x:v>Fictional sample dataset</x:v>
      </x:c>
    </x:row>
    <x:row r="9">
      <x:c r="A9" s="16" t="str">
        <x:v>Status</x:v>
      </x:c>
      <x:c r="B9" s="17" t="str">
        <x:v>Initial analysis complete</x:v>
      </x:c>
    </x:row>
    <x:row r="11">
      <x:c r="A11" s="20" t="str">
        <x:v>Priority</x:v>
      </x:c>
      <x:c r="B11" s="20" t="str">
        <x:v>Finding</x:v>
      </x:c>
      <x:c r="C11" s="20" t="str">
        <x:v>Evidence</x:v>
      </x:c>
      <x:c r="D11" s="20" t="str">
        <x:v>Business Impact</x:v>
      </x:c>
      <x:c r="E11" s="20" t="str">
        <x:v>Recommended Direction</x:v>
      </x:c>
      <x:c r="F11" s="20" t="str">
        <x:v>Next Step</x:v>
      </x:c>
    </x:row>
    <x:row r="12">
      <x:c r="A12" s="17" t="str">
        <x:v>High</x:v>
      </x:c>
      <x:c r="B12" s="17" t="str">
        <x:v>Vauxhall is the clearest performance concern</x:v>
      </x:c>
      <x:c r="C12" s="17" t="str">
        <x:v>Revenue falls progressively below plan while COGS, labour and operating costs deteriorate</x:v>
      </x:c>
      <x:c r="D12" s="17" t="str">
        <x:v>Margin compression and weaker site contribution</x:v>
      </x:c>
      <x:c r="E12" s="17" t="str">
        <x:v>Review site economics, rota control, purchasing and maintenance together</x:v>
      </x:c>
      <x:c r="F12" s="17" t="str">
        <x:v>Build Vauxhall exception view in dashboard</x:v>
      </x:c>
    </x:row>
    <x:row r="13">
      <x:c r="A13" s="17" t="str">
        <x:v>High</x:v>
      </x:c>
      <x:c r="B13" s="17" t="str">
        <x:v>Supplier cost control needs stronger exception monitoring</x:v>
      </x:c>
      <x:c r="C13" s="17" t="str">
        <x:v>Fresh Foods spend at Vauxhall rises materially above baseline; Camden beverage spend also drifts upward</x:v>
      </x:c>
      <x:c r="D13" s="17" t="str">
        <x:v>Cost increases may be identified after they have already affected margin</x:v>
      </x:c>
      <x:c r="E13" s="17" t="str">
        <x:v>Introduce supplier variance reporting and agreed-price tracking</x:v>
      </x:c>
      <x:c r="F13" s="17" t="str">
        <x:v>Create monthly supplier exception report</x:v>
      </x:c>
    </x:row>
    <x:row r="14">
      <x:c r="A14" s="17" t="str">
        <x:v>High</x:v>
      </x:c>
      <x:c r="B14" s="17" t="str">
        <x:v>Labour visibility is too retrospective</x:v>
      </x:c>
      <x:c r="C14" s="17" t="str">
        <x:v>Vauxhall shows recurring labour overspend and agency cost from February onward</x:v>
      </x:c>
      <x:c r="D14" s="17" t="str">
        <x:v>Management has limited opportunity to correct labour cost during the month</x:v>
      </x:c>
      <x:c r="E14" s="17" t="str">
        <x:v>Introduce weekly labour-to-sales review by site</x:v>
      </x:c>
      <x:c r="F14" s="17" t="str">
        <x:v>Add labour KPI to weekly dashboard</x:v>
      </x:c>
    </x:row>
    <x:row r="15">
      <x:c r="A15" s="17" t="str">
        <x:v>Medium</x:v>
      </x:c>
      <x:c r="B15" s="17" t="str">
        <x:v>Maintenance spend at Vauxhall requires investigation</x:v>
      </x:c>
      <x:c r="C15" s="17" t="str">
        <x:v>Rapid Repairs shows repeated spend spikes during April–June</x:v>
      </x:c>
      <x:c r="D15" s="17" t="str">
        <x:v>Recurring reactive maintenance can hide underlying asset or supplier issues</x:v>
      </x:c>
      <x:c r="E15" s="17" t="str">
        <x:v>Review call-out causes, approval thresholds and alternative maintenance arrangements</x:v>
      </x:c>
      <x:c r="F15" s="17" t="str">
        <x:v>Create maintenance spend drill-down</x:v>
      </x:c>
    </x:row>
    <x:row r="16">
      <x:c r="A16" s="17" t="str">
        <x:v>Medium</x:v>
      </x:c>
      <x:c r="B16" s="17" t="str">
        <x:v>Current reporting model depends on manual consolidation</x:v>
      </x:c>
      <x:c r="C16" s="17" t="str">
        <x:v>Performance analysis requires combining finance, POS, labour and supplier data</x:v>
      </x:c>
      <x:c r="D16" s="17" t="str">
        <x:v>Slower management reporting and greater admin dependency</x:v>
      </x:c>
      <x:c r="E16" s="17" t="str">
        <x:v>Standardise data structure and reporting workflow before adding another site</x:v>
      </x:c>
      <x:c r="F16" s="17" t="str">
        <x:v>Design management dashboard and reporting cadence</x:v>
      </x:c>
    </x:row>
    <x:row r="17">
      <x:c r="A17" s="17" t="str">
        <x:v>Low / Positive</x:v>
      </x:c>
      <x:c r="B17" s="17" t="str">
        <x:v>Not every site requires intervention</x:v>
      </x:c>
      <x:c r="C17" s="17" t="str">
        <x:v>Borough remains broadly stable and Camden shows positive revenue momentum</x:v>
      </x:c>
      <x:c r="D17" s="17" t="str">
        <x:v>Allows management attention to focus on exceptions rather than applying blanket changes</x:v>
      </x:c>
      <x:c r="E17" s="17" t="str">
        <x:v>Use site benchmarking and exception-based management</x:v>
      </x:c>
      <x:c r="F17" s="17" t="str">
        <x:v>Compare site KPIs side by side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  <x:col min="9" max="9" width="18" hidden="0" customWidth="1"/>
    <x:col min="10" max="10" width="18" hidden="0" customWidth="1"/>
    <x:col min="11" max="11" width="38" hidden="0" customWidth="1"/>
  </x:cols>
  <x:sheetData>
    <x:row r="1">
      <x:c r="A1" s="20" t="str">
        <x:v>Site</x:v>
      </x:c>
      <x:c r="B1" s="20" t="str">
        <x:v>Revenue Budget</x:v>
      </x:c>
      <x:c r="C1" s="20" t="str">
        <x:v>Revenue Actual</x:v>
      </x:c>
      <x:c r="D1" s="20" t="str">
        <x:v>Revenue Var £</x:v>
      </x:c>
      <x:c r="E1" s="20" t="str">
        <x:v>Revenue Var %</x:v>
      </x:c>
      <x:c r="F1" s="20" t="str">
        <x:v>COGS %</x:v>
      </x:c>
      <x:c r="G1" s="20" t="str">
        <x:v>Labour %</x:v>
      </x:c>
      <x:c r="H1" s="20" t="str">
        <x:v>Operating Cost Var £</x:v>
      </x:c>
      <x:c r="I1" s="20" t="str">
        <x:v>Site Contribution £</x:v>
      </x:c>
      <x:c r="J1" s="20" t="str">
        <x:v>Site Contribution %</x:v>
      </x:c>
      <x:c r="K1" s="20" t="str">
        <x:v>Initial Assessment</x:v>
      </x:c>
    </x:row>
    <x:row r="2">
      <x:c r="A2" t="str">
        <x:v>Soho</x:v>
      </x:c>
      <x:c r="B2" s="4" t="n">
        <x:f>SUMIF('Monthly Performance'!$B$2:$B$49,$A2,'Monthly Performance'!$C$2:$C$49)</x:f>
        <x:v>1650000</x:v>
      </x:c>
      <x:c r="C2" s="4" t="n">
        <x:f>SUMIF('Monthly Performance'!$B$2:$B$49,$A2,'Monthly Performance'!$D$2:$D$49)</x:f>
        <x:v>1630420</x:v>
      </x:c>
      <x:c r="D2" s="4" t="n">
        <x:f>C2-B2</x:f>
        <x:v>-19580</x:v>
      </x:c>
      <x:c r="E2" s="22" t="n">
        <x:f>IFERROR(D2/B2,0)</x:f>
        <x:v>-0.011866666666666666</x:v>
      </x:c>
      <x:c r="F2" s="22" t="n">
        <x:f>IFERROR(SUMIF('Monthly Performance'!$B$2:$B$49,$A2,'Monthly Performance'!$F$2:$F$49)/C2,0)</x:f>
        <x:v>0.295</x:v>
      </x:c>
      <x:c r="G2" s="22" t="n">
        <x:f>IFERROR(SUMIF('Labour Detail'!$B$2:$B$49,$A2,'Labour Detail'!$E$2:$E$49)/C2,0)</x:f>
        <x:v>0.31610440254658306</x:v>
      </x:c>
      <x:c r="H2" s="4" t="n">
        <x:f>SUMIF('Monthly Performance'!$B$2:$B$49,$A2,'Monthly Performance'!$J$2:$J$49)-SUMIF('Monthly Performance'!$B$2:$B$49,$A2,'Monthly Performance'!$I$2:$I$49)</x:f>
        <x:v>6600</x:v>
      </x:c>
      <x:c r="I2" s="4" t="n">
        <x:f>C2-SUMIF('Monthly Performance'!$B$2:$B$49,$A2,'Monthly Performance'!$F$2:$F$49)-SUMIF('Labour Detail'!$B$2:$B$49,$A2,'Labour Detail'!$E$2:$E$49)-SUMIF('Monthly Performance'!$B$2:$B$49,$A2,'Monthly Performance'!$J$2:$J$49)</x:f>
        <x:v>297463.16000000015</x:v>
      </x:c>
      <x:c r="J2" s="22" t="n">
        <x:f>IFERROR(I2/C2,0)</x:f>
        <x:v>0.1824457256412459</x:v>
      </x:c>
      <x:c r="K2" t="str">
        <x:v>Stable; modest margin pressure</x:v>
      </x:c>
    </x:row>
    <x:row r="3">
      <x:c r="A3" t="str">
        <x:v>Vauxhall</x:v>
      </x:c>
      <x:c r="B3" s="4" t="n">
        <x:f>SUMIF('Monthly Performance'!$B$2:$B$49,$A3,'Monthly Performance'!$C$2:$C$49)</x:f>
        <x:v>1400000.02</x:v>
      </x:c>
      <x:c r="C3" s="4" t="n">
        <x:f>SUMIF('Monthly Performance'!$B$2:$B$49,$A3,'Monthly Performance'!$D$2:$D$49)</x:f>
        <x:v>1339613.3399999999</x:v>
      </x:c>
      <x:c r="D3" s="4" t="n">
        <x:f>C3-B3</x:f>
        <x:v>-60386.68000000017</x:v>
      </x:c>
      <x:c r="E3" s="22" t="n">
        <x:f>IFERROR(D3/B3,0)</x:f>
        <x:v>-0.043133342240952374</x:v>
      </x:c>
      <x:c r="F3" s="22" t="n">
        <x:f>IFERROR(SUMIF('Monthly Performance'!$B$2:$B$49,$A3,'Monthly Performance'!$F$2:$F$49)/C3,0)</x:f>
        <x:v>0.31585693226972494</x:v>
      </x:c>
      <x:c r="G3" s="22" t="n">
        <x:f>IFERROR(SUMIF('Labour Detail'!$B$2:$B$49,$A3,'Labour Detail'!$E$2:$E$49)/C3,0)</x:f>
        <x:v>0.3203588133871525</x:v>
      </x:c>
      <x:c r="H3" s="4" t="n">
        <x:f>SUMIF('Monthly Performance'!$B$2:$B$49,$A3,'Monthly Performance'!$J$2:$J$49)-SUMIF('Monthly Performance'!$B$2:$B$49,$A3,'Monthly Performance'!$I$2:$I$49)</x:f>
        <x:v>16013.179999999993</x:v>
      </x:c>
      <x:c r="I3" s="4" t="n">
        <x:f>C3-SUMIF('Monthly Performance'!$B$2:$B$49,$A3,'Monthly Performance'!$F$2:$F$49)-SUMIF('Labour Detail'!$B$2:$B$49,$A3,'Labour Detail'!$E$2:$E$49)-SUMIF('Monthly Performance'!$B$2:$B$49,$A3,'Monthly Performance'!$J$2:$J$49)</x:f>
        <x:v>205317.03999999998</x:v>
      </x:c>
      <x:c r="J3" s="22" t="n">
        <x:f>IFERROR(I3/C3,0)</x:f>
        <x:v>0.15326589685946246</x:v>
      </x:c>
      <x:c r="K3" t="str">
        <x:v>Priority review: revenue, COGS, labour and maintenance</x:v>
      </x:c>
    </x:row>
    <x:row r="4">
      <x:c r="A4" t="str">
        <x:v>Borough</x:v>
      </x:c>
      <x:c r="B4" s="4" t="n">
        <x:f>SUMIF('Monthly Performance'!$B$2:$B$49,$A4,'Monthly Performance'!$C$2:$C$49)</x:f>
        <x:v>849999.9800000001</x:v>
      </x:c>
      <x:c r="C4" s="4" t="n">
        <x:f>SUMIF('Monthly Performance'!$B$2:$B$49,$A4,'Monthly Performance'!$D$2:$D$49)</x:f>
        <x:v>862268.3099999999</x:v>
      </x:c>
      <x:c r="D4" s="4" t="n">
        <x:f>C4-B4</x:f>
        <x:v>12268.329999999842</x:v>
      </x:c>
      <x:c r="E4" s="22" t="n">
        <x:f>IFERROR(D4/B4,0)</x:f>
        <x:v>0.014433329751372277</x:v>
      </x:c>
      <x:c r="F4" s="22" t="n">
        <x:f>IFERROR(SUMIF('Monthly Performance'!$B$2:$B$49,$A4,'Monthly Performance'!$F$2:$F$49)/C4,0)</x:f>
        <x:v>0.2849999671216028</x:v>
      </x:c>
      <x:c r="G4" s="22" t="n">
        <x:f>IFERROR(SUMIF('Labour Detail'!$B$2:$B$49,$A4,'Labour Detail'!$E$2:$E$49)/C4,0)</x:f>
        <x:v>0.31500000272536977</x:v>
      </x:c>
      <x:c r="H4" s="4" t="n">
        <x:f>SUMIF('Monthly Performance'!$B$2:$B$49,$A4,'Monthly Performance'!$J$2:$J$49)-SUMIF('Monthly Performance'!$B$2:$B$49,$A4,'Monthly Performance'!$I$2:$I$49)</x:f>
        <x:v>-1530.0100000000093</x:v>
      </x:c>
      <x:c r="I4" s="4" t="n">
        <x:f>C4-SUMIF('Monthly Performance'!$B$2:$B$49,$A4,'Monthly Performance'!$F$2:$F$49)-SUMIF('Labour Detail'!$B$2:$B$49,$A4,'Labour Detail'!$E$2:$E$49)-SUMIF('Monthly Performance'!$B$2:$B$49,$A4,'Monthly Performance'!$J$2:$J$49)</x:f>
        <x:v>193437.35999999993</x:v>
      </x:c>
      <x:c r="J4" s="22" t="n">
        <x:f>IFERROR(I4/C4,0)</x:f>
        <x:v>0.22433546235741858</x:v>
      </x:c>
      <x:c r="K4" t="str">
        <x:v>Stable; performing close to or above plan</x:v>
      </x:c>
    </x:row>
    <x:row r="5">
      <x:c r="A5" t="str">
        <x:v>Camden</x:v>
      </x:c>
      <x:c r="B5" s="4" t="n">
        <x:f>SUMIF('Monthly Performance'!$B$2:$B$49,$A5,'Monthly Performance'!$C$2:$C$49)</x:f>
        <x:v>900000</x:v>
      </x:c>
      <x:c r="C5" s="4" t="n">
        <x:f>SUMIF('Monthly Performance'!$B$2:$B$49,$A5,'Monthly Performance'!$D$2:$D$49)</x:f>
        <x:v>924412.5</x:v>
      </x:c>
      <x:c r="D5" s="4" t="n">
        <x:f>C5-B5</x:f>
        <x:v>24412.5</x:v>
      </x:c>
      <x:c r="E5" s="22" t="n">
        <x:f>IFERROR(D5/B5,0)</x:f>
        <x:v>0.027125</x:v>
      </x:c>
      <x:c r="F5" s="22" t="n">
        <x:f>IFERROR(SUMIF('Monthly Performance'!$B$2:$B$49,$A5,'Monthly Performance'!$F$2:$F$49)/C5,0)</x:f>
        <x:v>0.25500000270442036</x:v>
      </x:c>
      <x:c r="G5" s="22" t="n">
        <x:f>IFERROR(SUMIF('Labour Detail'!$B$2:$B$49,$A5,'Labour Detail'!$E$2:$E$49)/C5,0)</x:f>
        <x:v>0.28499998647789815</x:v>
      </x:c>
      <x:c r="H5" s="4" t="n">
        <x:f>SUMIF('Monthly Performance'!$B$2:$B$49,$A5,'Monthly Performance'!$J$2:$J$49)-SUMIF('Monthly Performance'!$B$2:$B$49,$A5,'Monthly Performance'!$I$2:$I$49)</x:f>
        <x:v>1620</x:v>
      </x:c>
      <x:c r="I5" s="4" t="n">
        <x:f>C5-SUMIF('Monthly Performance'!$B$2:$B$49,$A5,'Monthly Performance'!$F$2:$F$49)-SUMIF('Labour Detail'!$B$2:$B$49,$A5,'Labour Detail'!$E$2:$E$49)-SUMIF('Monthly Performance'!$B$2:$B$49,$A5,'Monthly Performance'!$J$2:$J$49)</x:f>
        <x:v>261609.76</x:v>
      </x:c>
      <x:c r="J5" s="22" t="n">
        <x:f>IFERROR(I5/C5,0)</x:f>
        <x:v>0.28300110610793344</x:v>
      </x:c>
      <x:c r="K5" t="str">
        <x:v>Positive trading trend; monitor beverage cost</x:v>
      </x:c>
    </x:row>
  </x:sheetData>
  <x:conditionalFormatting sqref="E2:E5">
    <x:cfRule type="cellIs" dxfId="0" priority="1" operator="lessThan">
      <x:formula>-0.03</x:formula>
    </x:cfRule>
  </x:conditionalFormatting>
  <x:conditionalFormatting sqref="F2:G5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6" hidden="0" customWidth="1"/>
    <x:col min="5" max="5" width="18" hidden="0" customWidth="1"/>
    <x:col min="6" max="6" width="16" hidden="0" customWidth="1"/>
    <x:col min="7" max="7" width="14" hidden="0" customWidth="1"/>
    <x:col min="8" max="8" width="48" hidden="0" customWidth="1"/>
  </x:cols>
  <x:sheetData>
    <x:row r="1">
      <x:c r="A1" s="20" t="str">
        <x:v>Supplier</x:v>
      </x:c>
      <x:c r="B1" s="20" t="str">
        <x:v>Site</x:v>
      </x:c>
      <x:c r="C1" s="20" t="str">
        <x:v>Category</x:v>
      </x:c>
      <x:c r="D1" s="20" t="str">
        <x:v>12M Spend</x:v>
      </x:c>
      <x:c r="E1" s="20" t="str">
        <x:v>Baseline Equivalent</x:v>
      </x:c>
      <x:c r="F1" s="20" t="str">
        <x:v>Variance £</x:v>
      </x:c>
      <x:c r="G1" s="20" t="str">
        <x:v>Variance %</x:v>
      </x:c>
      <x:c r="H1" s="20" t="str">
        <x:v>Finding</x:v>
      </x:c>
      <x:c r="I1" s="20"/>
      <x:c r="J1" s="20"/>
      <x:c r="K1" s="20"/>
    </x:row>
    <x:row r="2">
      <x:c r="A2" t="str">
        <x:v>Fresh Foods Ltd</x:v>
      </x:c>
      <x:c r="B2" t="str">
        <x:v>Vauxhall</x:v>
      </x:c>
      <x:c r="C2" t="str">
        <x:v>Food</x:v>
      </x:c>
      <x:c r="D2" s="4" t="n">
        <x:f>SUMIFS('Supplier Spend'!$E$2:$E$289,'Supplier Spend'!$B$2:$B$289,$A2,'Supplier Spend'!$D$2:$D$289,$B2)</x:f>
        <x:v>104883.00000000001</x:v>
      </x:c>
      <x:c r="E2" s="4" t="n">
        <x:f>SUMIFS('Supplier Spend'!$F$2:$F$289,'Supplier Spend'!$B$2:$B$289,$A2,'Supplier Spend'!$D$2:$D$289,$B2)</x:f>
        <x:v>98400</x:v>
      </x:c>
      <x:c r="F2" s="4" t="n">
        <x:f>D2-E2</x:f>
        <x:v>6483.000000000015</x:v>
      </x:c>
      <x:c r="G2" s="22" t="n">
        <x:f>IFERROR(F2/E2,0)</x:f>
        <x:v>0.06588414634146356</x:v>
      </x:c>
      <x:c r="H2" t="str">
        <x:v>Material spend increase versus agreed baseline; investigate pricing and purchasing volume</x:v>
      </x:c>
    </x:row>
    <x:row r="3">
      <x:c r="A3" t="str">
        <x:v>City Beverages</x:v>
      </x:c>
      <x:c r="B3" t="str">
        <x:v>Camden</x:v>
      </x:c>
      <x:c r="C3" t="str">
        <x:v>Beverage</x:v>
      </x:c>
      <x:c r="D3" s="4" t="n">
        <x:f>SUMIFS('Supplier Spend'!$E$2:$E$289,'Supplier Spend'!$B$2:$B$289,$A3,'Supplier Spend'!$D$2:$D$289,$B3)</x:f>
        <x:v>111065.73000000003</x:v>
      </x:c>
      <x:c r="E3" s="4" t="n">
        <x:f>SUMIFS('Supplier Spend'!$F$2:$F$289,'Supplier Spend'!$B$2:$B$289,$A3,'Supplier Spend'!$D$2:$D$289,$B3)</x:f>
        <x:v>108000</x:v>
      </x:c>
      <x:c r="F3" s="4" t="n">
        <x:f>D3-E3</x:f>
        <x:v>3065.730000000025</x:v>
      </x:c>
      <x:c r="G3" s="22" t="n">
        <x:f>IFERROR(F3/E3,0)</x:f>
        <x:v>0.02838638888888912</x:v>
      </x:c>
      <x:c r="H3" t="str">
        <x:v>Spend drifting above baseline in later months; review unit pricing and mix</x:v>
      </x:c>
    </x:row>
    <x:row r="4">
      <x:c r="A4" t="str">
        <x:v>Rapid Repairs</x:v>
      </x:c>
      <x:c r="B4" t="str">
        <x:v>Vauxhall</x:v>
      </x:c>
      <x:c r="C4" t="str">
        <x:v>Maintenance</x:v>
      </x:c>
      <x:c r="D4" s="4" t="n">
        <x:f>SUMIFS('Supplier Spend'!$E$2:$E$289,'Supplier Spend'!$B$2:$B$289,$A4,'Supplier Spend'!$D$2:$D$289,$B4)</x:f>
        <x:v>12990.24</x:v>
      </x:c>
      <x:c r="E4" s="4" t="n">
        <x:f>SUMIFS('Supplier Spend'!$F$2:$F$289,'Supplier Spend'!$B$2:$B$289,$A4,'Supplier Spend'!$D$2:$D$289,$B4)</x:f>
        <x:v>10200</x:v>
      </x:c>
      <x:c r="F4" s="4" t="n">
        <x:f>D4-E4</x:f>
        <x:v>2790.24</x:v>
      </x:c>
      <x:c r="G4" s="22" t="n">
        <x:f>IFERROR(F4/E4,0)</x:f>
        <x:v>0.27355294117647055</x:v>
      </x:c>
      <x:c r="H4" t="str">
        <x:v>Repeated maintenance call-outs create an avoidable cost-control issue</x:v>
      </x:c>
    </x:row>
  </x:sheetData>
  <x:conditionalFormatting sqref="G2:G4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4" hidden="0" customWidth="1"/>
    <x:col min="8" max="8" width="45" hidden="0" customWidth="1"/>
  </x:cols>
  <x:sheetData>
    <x:row r="1">
      <x:c r="A1" s="20" t="str">
        <x:v>Site</x:v>
      </x:c>
      <x:c r="B1" s="20" t="str">
        <x:v>Revenue</x:v>
      </x:c>
      <x:c r="C1" s="20" t="str">
        <x:v>Scheduled Labour</x:v>
      </x:c>
      <x:c r="D1" s="20" t="str">
        <x:v>Actual Labour</x:v>
      </x:c>
      <x:c r="E1" s="20" t="str">
        <x:v>Variance £</x:v>
      </x:c>
      <x:c r="F1" s="20" t="str">
        <x:v>Actual Labour %</x:v>
      </x:c>
      <x:c r="G1" s="20" t="str">
        <x:v>Agency Cost</x:v>
      </x:c>
      <x:c r="H1" s="20" t="str">
        <x:v>Finding</x:v>
      </x:c>
      <x:c r="I1" s="20"/>
      <x:c r="J1" s="20"/>
      <x:c r="K1" s="20"/>
    </x:row>
    <x:row r="2">
      <x:c r="A2" t="str">
        <x:v>Soho</x:v>
      </x:c>
      <x:c r="B2" s="4" t="n">
        <x:f>SUMIF('Labour Detail'!$B$2:$B$49,$A2,'Labour Detail'!$C$2:$C$49)</x:f>
        <x:v>1630420</x:v>
      </x:c>
      <x:c r="C2" s="4" t="n">
        <x:f>SUMIF('Labour Detail'!$B$2:$B$49,$A2,'Labour Detail'!$D$2:$D$49)</x:f>
        <x:v>506385</x:v>
      </x:c>
      <x:c r="D2" s="4" t="n">
        <x:f>SUMIF('Labour Detail'!$B$2:$B$49,$A2,'Labour Detail'!$E$2:$E$49)</x:f>
        <x:v>515382.94</x:v>
      </x:c>
      <x:c r="E2" s="4" t="n">
        <x:f>D2-C2</x:f>
        <x:v>8997.940000000002</x:v>
      </x:c>
      <x:c r="F2" s="22" t="n">
        <x:f>IFERROR(D2/B2,0)</x:f>
        <x:v>0.31610440254658306</x:v>
      </x:c>
      <x:c r="G2" s="4" t="n">
        <x:f>SUMIF('Labour Detail'!$B$2:$B$49,$A2,'Labour Detail'!$G$2:$G$49)</x:f>
        <x:v>1800.65</x:v>
      </x:c>
      <x:c r="H2" t="str">
        <x:v>Generally controlled; occasional agency use</x:v>
      </x:c>
    </x:row>
    <x:row r="3">
      <x:c r="A3" t="str">
        <x:v>Vauxhall</x:v>
      </x:c>
      <x:c r="B3" s="4" t="n">
        <x:f>SUMIF('Labour Detail'!$B$2:$B$49,$A3,'Labour Detail'!$C$2:$C$49)</x:f>
        <x:v>1339613.3399999999</x:v>
      </x:c>
      <x:c r="C3" s="4" t="n">
        <x:f>SUMIF('Labour Detail'!$B$2:$B$49,$A3,'Labour Detail'!$D$2:$D$49)</x:f>
        <x:v>415800</x:v>
      </x:c>
      <x:c r="D3" s="4" t="n">
        <x:f>SUMIF('Labour Detail'!$B$2:$B$49,$A3,'Labour Detail'!$E$2:$E$49)</x:f>
        <x:v>429156.94</x:v>
      </x:c>
      <x:c r="E3" s="4" t="n">
        <x:f>D3-C3</x:f>
        <x:v>13356.940000000002</x:v>
      </x:c>
      <x:c r="F3" s="22" t="n">
        <x:f>IFERROR(D3/B3,0)</x:f>
        <x:v>0.3203588133871525</x:v>
      </x:c>
      <x:c r="G3" s="4" t="n">
        <x:f>SUMIF('Labour Detail'!$B$2:$B$49,$A3,'Labour Detail'!$G$2:$G$49)</x:f>
        <x:v>9251.2</x:v>
      </x:c>
      <x:c r="H3" t="str">
        <x:v>Material labour pressure driven by rota variance and recurring agency use</x:v>
      </x:c>
    </x:row>
    <x:row r="4">
      <x:c r="A4" t="str">
        <x:v>Borough</x:v>
      </x:c>
      <x:c r="B4" s="4" t="n">
        <x:f>SUMIF('Labour Detail'!$B$2:$B$49,$A4,'Labour Detail'!$C$2:$C$49)</x:f>
        <x:v>862268.3099999999</x:v>
      </x:c>
      <x:c r="C4" s="4" t="n">
        <x:f>SUMIF('Labour Detail'!$B$2:$B$49,$A4,'Labour Detail'!$D$2:$D$49)</x:f>
        <x:v>269280</x:v>
      </x:c>
      <x:c r="D4" s="4" t="n">
        <x:f>SUMIF('Labour Detail'!$B$2:$B$49,$A4,'Labour Detail'!$E$2:$E$49)</x:f>
        <x:v>271614.51999999996</x:v>
      </x:c>
      <x:c r="E4" s="4" t="n">
        <x:f>D4-C4</x:f>
        <x:v>2334.5199999999604</x:v>
      </x:c>
      <x:c r="F4" s="22" t="n">
        <x:f>IFERROR(D4/B4,0)</x:f>
        <x:v>0.31500000272536977</x:v>
      </x:c>
      <x:c r="G4" s="4" t="n">
        <x:f>SUMIF('Labour Detail'!$B$2:$B$49,$A4,'Labour Detail'!$G$2:$G$49)</x:f>
        <x:v>0</x:v>
      </x:c>
      <x:c r="H4" t="str">
        <x:v>Labour broadly controlled</x:v>
      </x:c>
    </x:row>
    <x:row r="5">
      <x:c r="A5" t="str">
        <x:v>Camden</x:v>
      </x:c>
      <x:c r="B5" s="4" t="n">
        <x:f>SUMIF('Labour Detail'!$B$2:$B$49,$A5,'Labour Detail'!$C$2:$C$49)</x:f>
        <x:v>924412.5</x:v>
      </x:c>
      <x:c r="C5" s="4" t="n">
        <x:f>SUMIF('Labour Detail'!$B$2:$B$49,$A5,'Labour Detail'!$D$2:$D$49)</x:f>
        <x:v>258389.98999999996</x:v>
      </x:c>
      <x:c r="D5" s="4" t="n">
        <x:f>SUMIF('Labour Detail'!$B$2:$B$49,$A5,'Labour Detail'!$E$2:$E$49)</x:f>
        <x:v>263457.55000000005</x:v>
      </x:c>
      <x:c r="E5" s="4" t="n">
        <x:f>D5-C5</x:f>
        <x:v>5067.560000000085</x:v>
      </x:c>
      <x:c r="F5" s="22" t="n">
        <x:f>IFERROR(D5/B5,0)</x:f>
        <x:v>0.28499998647789815</x:v>
      </x:c>
      <x:c r="G5" s="4" t="n">
        <x:f>SUMIF('Labour Detail'!$B$2:$B$49,$A5,'Labour Detail'!$G$2:$G$49)</x:f>
        <x:v>0</x:v>
      </x:c>
      <x:c r="H5" t="str">
        <x:v>Labour performing well relative to revenue</x:v>
      </x:c>
    </x:row>
  </x:sheetData>
  <x:conditionalFormatting sqref="F2:F5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